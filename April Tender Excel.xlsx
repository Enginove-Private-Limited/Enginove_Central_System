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enders in Progress" sheetId="2" r:id="rId6"/>
    <sheet state="visible" name="Submitted Tenders" sheetId="3" r:id="rId7"/>
    <sheet state="visible" name="UZ Tenders" sheetId="4" r:id="rId8"/>
    <sheet state="visible" name="Supplier Registration" sheetId="5" r:id="rId9"/>
    <sheet state="visible" name="Site Visits" sheetId="6" r:id="rId10"/>
    <sheet state="visible" name="NEW EXCEL" sheetId="7" r:id="rId11"/>
    <sheet state="visible" name="Sheet15" sheetId="8" r:id="rId12"/>
    <sheet state="visible" name="tenders we won " sheetId="9" r:id="rId13"/>
  </sheets>
  <definedNames/>
  <calcPr/>
</workbook>
</file>

<file path=xl/sharedStrings.xml><?xml version="1.0" encoding="utf-8"?>
<sst xmlns="http://schemas.openxmlformats.org/spreadsheetml/2006/main" count="1243" uniqueCount="561">
  <si>
    <t xml:space="preserve">   </t>
  </si>
  <si>
    <t>UZ SUBMITTED</t>
  </si>
  <si>
    <t>SUBMITTED TENDERS</t>
  </si>
  <si>
    <t xml:space="preserve">  </t>
  </si>
  <si>
    <t>Date</t>
  </si>
  <si>
    <t xml:space="preserve"> </t>
  </si>
  <si>
    <t>Today</t>
  </si>
  <si>
    <t xml:space="preserve"> Yesterday</t>
  </si>
  <si>
    <t>TENDER</t>
  </si>
  <si>
    <t>Total Tenders</t>
  </si>
  <si>
    <t>Allocated to</t>
  </si>
  <si>
    <t>submitted by</t>
  </si>
  <si>
    <t>Site Visit/</t>
  </si>
  <si>
    <t>CLOSING</t>
  </si>
  <si>
    <t>BID BOND AMOUNT</t>
  </si>
  <si>
    <t>Source of rfq</t>
  </si>
  <si>
    <t>STATUS</t>
  </si>
  <si>
    <t>Submitted by</t>
  </si>
  <si>
    <t>Kwekwe Poly - Substructure construction labour only</t>
  </si>
  <si>
    <t>Total Tenders Submitted to date</t>
  </si>
  <si>
    <t>PMU PERSONNEL</t>
  </si>
  <si>
    <t>UZ Submitted to date</t>
  </si>
  <si>
    <t>PROJECT</t>
  </si>
  <si>
    <t>Sumbitted On</t>
  </si>
  <si>
    <t>TO FOLLOW UP</t>
  </si>
  <si>
    <t xml:space="preserve">CLOSING DATE </t>
  </si>
  <si>
    <t xml:space="preserve">PROCUREMENT </t>
  </si>
  <si>
    <t>REMARKS</t>
  </si>
  <si>
    <t>TOTAL SUBMITTED</t>
  </si>
  <si>
    <t>Charles</t>
  </si>
  <si>
    <t>COODINATOR</t>
  </si>
  <si>
    <t>RFQ</t>
  </si>
  <si>
    <t>UZ - Compaction, gravel hauling, and backfilling</t>
  </si>
  <si>
    <t>Daniel</t>
  </si>
  <si>
    <t>DATE</t>
  </si>
  <si>
    <t>Prince</t>
  </si>
  <si>
    <t>17/07/2026</t>
  </si>
  <si>
    <t>MANAGER</t>
  </si>
  <si>
    <t>Chinhoyi city council - Supply and delivery of tools and hardware</t>
  </si>
  <si>
    <t>ONGOING TENDERS</t>
  </si>
  <si>
    <t>14/07/2026</t>
  </si>
  <si>
    <t>Submitted</t>
  </si>
  <si>
    <t>ZAC - building and maintance  and repair services</t>
  </si>
  <si>
    <t>Colmore</t>
  </si>
  <si>
    <t>UZ - Building materials</t>
  </si>
  <si>
    <t>TODAY</t>
  </si>
  <si>
    <t xml:space="preserve">Daniel </t>
  </si>
  <si>
    <t>TOTAL TENDERS</t>
  </si>
  <si>
    <t>UZ SUBMITTED TODAY</t>
  </si>
  <si>
    <t>Chegutu district hospital</t>
  </si>
  <si>
    <t>Prince, Colmore</t>
  </si>
  <si>
    <t>Other tenders Submitted Today</t>
  </si>
  <si>
    <t>TOTAL TENDERS SUBMITTED TODAY</t>
  </si>
  <si>
    <t>UZ - Swinton</t>
  </si>
  <si>
    <t>team enginove</t>
  </si>
  <si>
    <t>Charlse</t>
  </si>
  <si>
    <t>Ministry of Local Governance – supply and delivery of Inyathi construction materials</t>
  </si>
  <si>
    <t>Kwekwe city council - Supply and delivery of tools and hardware</t>
  </si>
  <si>
    <t>22/08/2026</t>
  </si>
  <si>
    <t>Site Visit</t>
  </si>
  <si>
    <t>UZ- Swimmingpool</t>
  </si>
  <si>
    <t>25/06/2026</t>
  </si>
  <si>
    <t xml:space="preserve">Cut supply and delivery of steel shelving units </t>
  </si>
  <si>
    <t>Chirundu Local Board – Supply and delivery of SADC road signs</t>
  </si>
  <si>
    <t>UZ - Manhfred roof</t>
  </si>
  <si>
    <t>23/08/2026</t>
  </si>
  <si>
    <t>18/06/2026</t>
  </si>
  <si>
    <t>email</t>
  </si>
  <si>
    <t xml:space="preserve">Gwanda community share ownership trust - construction of a 3 upmarket blocks of flats - CATEGORY A only  </t>
  </si>
  <si>
    <t xml:space="preserve">Shephard </t>
  </si>
  <si>
    <t>UZ - supply and delivery of interlocking pavers and quarry dust</t>
  </si>
  <si>
    <t>Chipinge RDC - Supply and delivery of road construction materials</t>
  </si>
  <si>
    <t>National Processing Authority of Zimbabwe Partitioning of building</t>
  </si>
  <si>
    <t>17/06/2026</t>
  </si>
  <si>
    <t>egp</t>
  </si>
  <si>
    <t>15/07/2026</t>
  </si>
  <si>
    <t>Manicaland state university -  Hiring an Excavator for 40hrs</t>
  </si>
  <si>
    <t>Makuyana</t>
  </si>
  <si>
    <t>UZ - supply and delivery of safety nets</t>
  </si>
  <si>
    <t>ZEDTC - Renovation and Refurbishment of Mkwasine Substation Control Room</t>
  </si>
  <si>
    <t xml:space="preserve">Chipinge town council - supply and delivery of road construction materials       </t>
  </si>
  <si>
    <t>30/07/2026</t>
  </si>
  <si>
    <t>13/08/2026</t>
  </si>
  <si>
    <t>UZ - supply and delivery of panel lights</t>
  </si>
  <si>
    <t>Chipinge RDC - supply and delivery of submissible pump and motor pump</t>
  </si>
  <si>
    <t>Municipality of Chegutu – supply and delivery of road construction materials</t>
  </si>
  <si>
    <t>Tendertube</t>
  </si>
  <si>
    <t>28/08/2026</t>
  </si>
  <si>
    <t xml:space="preserve">City of Bulawayo - Supply and delivery of materials of Pelandaba and Iminyela Halls    </t>
  </si>
  <si>
    <t>UZ - supply and delivery of armored cable</t>
  </si>
  <si>
    <t>Municipality of Chegute – Supply and delivery of sewer reticulation materials</t>
  </si>
  <si>
    <t xml:space="preserve">Supply and delivery of plate compactors - Kwekwe City Council	</t>
  </si>
  <si>
    <t>Sunday mail</t>
  </si>
  <si>
    <t>UZ - Haulage of gravel</t>
  </si>
  <si>
    <t xml:space="preserve">City of Kadoma - Tools and Hardware   </t>
  </si>
  <si>
    <t>Municipality of Chegutu – supply and delivery of water reticulation materials</t>
  </si>
  <si>
    <t>Zimbabwe Electricity Transmission and Distrubution Authority Company (ZETDC) -Renovations of  Dunkeled House</t>
  </si>
  <si>
    <t xml:space="preserve">
UZ - LEMAITRE BOOTS ZEUS </t>
  </si>
  <si>
    <t>Hardlife</t>
  </si>
  <si>
    <t>Shurugwi town council – supply and delivery of water treatment chemicals</t>
  </si>
  <si>
    <t>Zimbabwe Electricity Transmission and Distrubution Authority Company (ZETDC) - Repair of ablution facilities at ZETDC Waynne Street</t>
  </si>
  <si>
    <t>18/08/2026</t>
  </si>
  <si>
    <t xml:space="preserve">UZ -  safety Harness- double lanyard
 </t>
  </si>
  <si>
    <t>Kwekwe Poly - Fix and supply of various painting works</t>
  </si>
  <si>
    <t>Ministry of Home affairs and cultural heritage – Tilling and painting of offices</t>
  </si>
  <si>
    <t>n/a</t>
  </si>
  <si>
    <t>BUSE - Hire of 20.000 ltr with springler system at wet rate</t>
  </si>
  <si>
    <t>UZ-Clylinder locksets</t>
  </si>
  <si>
    <t>Petros</t>
  </si>
  <si>
    <t>Supply and Delivery of Tools and Equipment for Eastern region</t>
  </si>
  <si>
    <t>30-04-2026</t>
  </si>
  <si>
    <t>N/A</t>
  </si>
  <si>
    <t xml:space="preserve">BUSE - supply and delivery of 1000Ltr and 5000Ltr  water tank </t>
  </si>
  <si>
    <t>Uz- supply and of electrical tools</t>
  </si>
  <si>
    <t>Petrozim - Supply, delivery and installation of precast industrial paving (5,100m²) at Msasa Oil Terminal</t>
  </si>
  <si>
    <t>Colleen</t>
  </si>
  <si>
    <t>Building and Facilities Maintenance and Repair Services to MMCZ Head Office (Framework Agreement)</t>
  </si>
  <si>
    <t>Melody</t>
  </si>
  <si>
    <t>21/07/2026</t>
  </si>
  <si>
    <t>attended</t>
  </si>
  <si>
    <t>submited</t>
  </si>
  <si>
    <t>Netone - RFQ Roofing materials for Binga</t>
  </si>
  <si>
    <t>Ministry of Transport &amp; Infrastructural Development - Supply and delivery of cement</t>
  </si>
  <si>
    <t>26-04-2026</t>
  </si>
  <si>
    <t>UZ - Delivery and supply of PPE</t>
  </si>
  <si>
    <t>ZENT-Hire of a 20tonne crane</t>
  </si>
  <si>
    <t>14/4/2026</t>
  </si>
  <si>
    <t>Tongogara RDC - Fencing of Staff Houses</t>
  </si>
  <si>
    <t>submitted</t>
  </si>
  <si>
    <t xml:space="preserve">Hardlife   </t>
  </si>
  <si>
    <t>21-04-2026</t>
  </si>
  <si>
    <t>Hivos Regional Office Southern Africa - Invitation to be included on approved suppliers list of goods and services</t>
  </si>
  <si>
    <t>14/08/2026</t>
  </si>
  <si>
    <t>Shepherd</t>
  </si>
  <si>
    <t>Supplier Registration</t>
  </si>
  <si>
    <t>31/07/2026</t>
  </si>
  <si>
    <t>Redcross-Supply and delivery of electrical tools</t>
  </si>
  <si>
    <t>UZ - Delivery of welding equipment</t>
  </si>
  <si>
    <t>tendernoticeboard</t>
  </si>
  <si>
    <t>In progress</t>
  </si>
  <si>
    <t>MOPSE - supply and delivery of construction materials</t>
  </si>
  <si>
    <t>22/4/2026</t>
  </si>
  <si>
    <t>Mbire Rural District - Supply and delivery of building  materials</t>
  </si>
  <si>
    <t>Zimbabwe Football Association</t>
  </si>
  <si>
    <t>20/04/2026</t>
  </si>
  <si>
    <t>ZETDC- Supply and delivery of tools and equipment for estern region</t>
  </si>
  <si>
    <t>UZ - Roof leak repair</t>
  </si>
  <si>
    <t>Super Registration</t>
  </si>
  <si>
    <t>CIFOZ</t>
  </si>
  <si>
    <t>19/06/2026</t>
  </si>
  <si>
    <t>tendertube</t>
  </si>
  <si>
    <t xml:space="preserve">submitted </t>
  </si>
  <si>
    <t>28/4/2026</t>
  </si>
  <si>
    <t>Kwekwe Poly - Supply and fix of ceilings</t>
  </si>
  <si>
    <t>Chegutu Municipality- Road construction materials</t>
  </si>
  <si>
    <t xml:space="preserve">Colmore  </t>
  </si>
  <si>
    <t>Transparency International Zimbabwe</t>
  </si>
  <si>
    <t xml:space="preserve">shepherd </t>
  </si>
  <si>
    <t>Kwekwe Poly- Supply and delivery of electrical tools and hardware</t>
  </si>
  <si>
    <t>30/04/2026</t>
  </si>
  <si>
    <t>UZ - TLB Hire for debris removal wet rat</t>
  </si>
  <si>
    <t>Chegutu Municipality- Water  construction materials</t>
  </si>
  <si>
    <t>Runde RDC- Supply and delivery of plumbing materials</t>
  </si>
  <si>
    <t xml:space="preserve">Charles </t>
  </si>
  <si>
    <t>SImango</t>
  </si>
  <si>
    <t>28/08/2027</t>
  </si>
  <si>
    <t>29/4/2026</t>
  </si>
  <si>
    <t>SNV - Zimbabwe</t>
  </si>
  <si>
    <t>17-04-2026</t>
  </si>
  <si>
    <t xml:space="preserve">Daniel&amp; shepherd </t>
  </si>
  <si>
    <t>Chegutu Municipality- Sewer  construction materials</t>
  </si>
  <si>
    <t>UZ - Levelling and compaction services</t>
  </si>
  <si>
    <t>28/08/2028</t>
  </si>
  <si>
    <t>Kwekwe Polytechnic - Supply and delivery of tools and hardware</t>
  </si>
  <si>
    <t>Form to be filled via Microsoft forms</t>
  </si>
  <si>
    <t>Simango</t>
  </si>
  <si>
    <t xml:space="preserve">Ministry  of  Mines - Construction of  Perimeter  Wall </t>
  </si>
  <si>
    <t>13/08/26</t>
  </si>
  <si>
    <t>Mining industry pension fund</t>
  </si>
  <si>
    <t>Shephard</t>
  </si>
  <si>
    <t>21/08/26</t>
  </si>
  <si>
    <t>Chivi RDC Road resurfacing works</t>
  </si>
  <si>
    <t>25/04/2026</t>
  </si>
  <si>
    <t xml:space="preserve">UZ - SAFETY SHOES </t>
  </si>
  <si>
    <t xml:space="preserve">submited </t>
  </si>
  <si>
    <t>done</t>
  </si>
  <si>
    <t>Shereni</t>
  </si>
  <si>
    <t xml:space="preserve">Supply  and  Delivery of 20-50mm Embarkment Road Filler for Tend Shade </t>
  </si>
  <si>
    <t xml:space="preserve">Prince </t>
  </si>
  <si>
    <t>City of Kadoma - Tools and Hardware, Plumbing materials</t>
  </si>
  <si>
    <t>Aids counselling trust (ACT)</t>
  </si>
  <si>
    <t>30/06/2026</t>
  </si>
  <si>
    <t>UZ - plumbing materials</t>
  </si>
  <si>
    <t>.;</t>
  </si>
  <si>
    <t>UBH-Hiring of earthmoving equipment</t>
  </si>
  <si>
    <t xml:space="preserve">Red cross - Irrigation  Materials </t>
  </si>
  <si>
    <t>in progress</t>
  </si>
  <si>
    <t>Kutsvara</t>
  </si>
  <si>
    <t>Kwekwe Polytechnic-Supply of construction materials</t>
  </si>
  <si>
    <t xml:space="preserve">GMB -Supply and fix at Mandara Staff Houses </t>
  </si>
  <si>
    <t>UZ - painting materials</t>
  </si>
  <si>
    <t>Simukai child protection program</t>
  </si>
  <si>
    <t>28/07/26</t>
  </si>
  <si>
    <t>Shepard</t>
  </si>
  <si>
    <t>21/04/2026</t>
  </si>
  <si>
    <t>Chipinge RDC - Hire of a dozer</t>
  </si>
  <si>
    <t xml:space="preserve">Chipinge Town Council  - Supply  and Delivery  of  construction materials for renovation of  Council  Buildings </t>
  </si>
  <si>
    <t>28/08/28</t>
  </si>
  <si>
    <t>UZ - Carpentry materials</t>
  </si>
  <si>
    <t>Smallholder Agriculture Cluster Project  (SACP)</t>
  </si>
  <si>
    <t>Red cross - toilet renovations</t>
  </si>
  <si>
    <t>Daniel &amp; charles</t>
  </si>
  <si>
    <t>31-03-2026</t>
  </si>
  <si>
    <t xml:space="preserve">Chegutu, Road opening  ,  excavations ,  hauling , dumping  , spreading and excavations works   </t>
  </si>
  <si>
    <t>G Simango</t>
  </si>
  <si>
    <t>15/5/2026</t>
  </si>
  <si>
    <t>Email</t>
  </si>
  <si>
    <t>28/08/29</t>
  </si>
  <si>
    <t>Kwekwe City Council - Supply and delivery of pavers</t>
  </si>
  <si>
    <t>none</t>
  </si>
  <si>
    <t>Tendernotice board</t>
  </si>
  <si>
    <t>UZ - tools and hardware</t>
  </si>
  <si>
    <t xml:space="preserve">Supply and fencing at Kahungwa, Upway, Chirau , clinics and Banket workshop </t>
  </si>
  <si>
    <t>Chipinge RDC- Supply and delivery of road construction materials</t>
  </si>
  <si>
    <t>26/08/30</t>
  </si>
  <si>
    <t>Prime health medical diagnostics</t>
  </si>
  <si>
    <t>Supplier registration</t>
  </si>
  <si>
    <t>non</t>
  </si>
  <si>
    <t>gazzete</t>
  </si>
  <si>
    <t>Ministry of Transport -Supply and delivery of Tools and Hardware. SAMPLE DELIVERY  (03/08/26)</t>
  </si>
  <si>
    <t>UBH - Supply &amp; delivery of hardware plumbing, building materials</t>
  </si>
  <si>
    <t>03/08/26(SAMPLE )</t>
  </si>
  <si>
    <t>gazzette</t>
  </si>
  <si>
    <t>28/08/26</t>
  </si>
  <si>
    <t>Tender</t>
  </si>
  <si>
    <t>16/4/26</t>
  </si>
  <si>
    <t>Tenderwell</t>
  </si>
  <si>
    <t>Hwange coliarry (HCCL)</t>
  </si>
  <si>
    <t xml:space="preserve">UZ- Circular Saw </t>
  </si>
  <si>
    <t>UZ - battries</t>
  </si>
  <si>
    <t>Daniel and Shepard</t>
  </si>
  <si>
    <t>Chitungwiza Central Hospital - Supply and delivery of Tools and Hardware</t>
  </si>
  <si>
    <t>29/08/27</t>
  </si>
  <si>
    <t xml:space="preserve">none </t>
  </si>
  <si>
    <t xml:space="preserve">tender tube </t>
  </si>
  <si>
    <t>sunday mail</t>
  </si>
  <si>
    <t xml:space="preserve">Comsumer Protection Commision Office -  Construction  and Partitioning of  Head Office  Building  </t>
  </si>
  <si>
    <t xml:space="preserve">Hardlife </t>
  </si>
  <si>
    <t>14/5/2026</t>
  </si>
  <si>
    <t>17/04/2026</t>
  </si>
  <si>
    <t>City Park</t>
  </si>
  <si>
    <t>Outlook</t>
  </si>
  <si>
    <t xml:space="preserve">National  Prospecting  Authority - Partitioning  of  Buildings </t>
  </si>
  <si>
    <t>Municipality of Marondera :  Supply and delivery of various concrete products</t>
  </si>
  <si>
    <t>UZ - tiles and accessories</t>
  </si>
  <si>
    <t>13/04/2026</t>
  </si>
  <si>
    <t>21/4/26</t>
  </si>
  <si>
    <t xml:space="preserve">Zim parks &amp; Wildlife Management  Authority - Supply &amp; Installation of Office  Palisade Fence </t>
  </si>
  <si>
    <t>Tirivacho</t>
  </si>
  <si>
    <t>29/07/26</t>
  </si>
  <si>
    <t>work in progress</t>
  </si>
  <si>
    <t>Awarded,Project Done</t>
  </si>
  <si>
    <t>Kwekwe Polytechnic-renovation of sporting facilities</t>
  </si>
  <si>
    <t xml:space="preserve">Zimbabwe Phosphate Industries - Repair of Strong  Room Door Ltd  </t>
  </si>
  <si>
    <t>newspaper</t>
  </si>
  <si>
    <t>UZ - aluminium works at multipurpose learning center</t>
  </si>
  <si>
    <t xml:space="preserve">Shepherd </t>
  </si>
  <si>
    <t>Mining promotion corporation - renovation of office buildings</t>
  </si>
  <si>
    <t>Mukundu</t>
  </si>
  <si>
    <t xml:space="preserve">Scientific and Industrial Development Centre (SIRDC),        
Supply, Repair and Painting of Building Walls and Roofs </t>
  </si>
  <si>
    <t>24/04/2026</t>
  </si>
  <si>
    <t>13/5/2026</t>
  </si>
  <si>
    <t>tendernotice board</t>
  </si>
  <si>
    <t>kwekwe polytechnic - ceiling for hostels</t>
  </si>
  <si>
    <t>Zimpapers</t>
  </si>
  <si>
    <t>25/05/2026</t>
  </si>
  <si>
    <t>UZ - Mountpleasent  renovations</t>
  </si>
  <si>
    <t xml:space="preserve">Ministry of Foreign Affairs and International Trade...ffice Tiling Works
</t>
  </si>
  <si>
    <t>Manicaland state university - Hiring a bulldozer to level ground for civil works for 40 hours</t>
  </si>
  <si>
    <t>Awarded, Project completed</t>
  </si>
  <si>
    <t>Kwekwe Poly - Renovation  of  Tea rooms</t>
  </si>
  <si>
    <t>31/07/26</t>
  </si>
  <si>
    <t xml:space="preserve">Citimed </t>
  </si>
  <si>
    <t>Kwekwe City Council - Completion of staff houses</t>
  </si>
  <si>
    <t>shepherd</t>
  </si>
  <si>
    <t>Uz - Bustop benches</t>
  </si>
  <si>
    <t xml:space="preserve">suplier registration </t>
  </si>
  <si>
    <t>22/4/26</t>
  </si>
  <si>
    <t xml:space="preserve">Silo  Food  Industries - Repair  of  Warehouse  Roller  Shutter  Doors </t>
  </si>
  <si>
    <t>St Josephs - Construction of a school hall</t>
  </si>
  <si>
    <t>Project in progress</t>
  </si>
  <si>
    <t xml:space="preserve">Insurance Institute of  Zimbabwe </t>
  </si>
  <si>
    <t>UZ - canopy construction</t>
  </si>
  <si>
    <t xml:space="preserve">Kwekwe Poly - Fix and  supply  of  Steel  Doors </t>
  </si>
  <si>
    <t xml:space="preserve">Daniel  </t>
  </si>
  <si>
    <t>Taranike</t>
  </si>
  <si>
    <t>21/05/2026</t>
  </si>
  <si>
    <t xml:space="preserve">Road opening,  hauling,  dumping, spreading  and excavations works </t>
  </si>
  <si>
    <t xml:space="preserve">UZ - Construction of pile foundation at Quinary hospital                     </t>
  </si>
  <si>
    <t>Cifoz</t>
  </si>
  <si>
    <t xml:space="preserve">Supply and Delivery of  tools , hardware and building  materials under call of  contract </t>
  </si>
  <si>
    <t>28/08/27</t>
  </si>
  <si>
    <t>Zesa - truck hire to Mt hapden</t>
  </si>
  <si>
    <t>v</t>
  </si>
  <si>
    <t>UZ -  safety Harness- double lanyard</t>
  </si>
  <si>
    <t xml:space="preserve">University  Zimbabwe - Site Clearance </t>
  </si>
  <si>
    <t>CUT - supply and delivery of aluminium frames</t>
  </si>
  <si>
    <t>ASAP</t>
  </si>
  <si>
    <t xml:space="preserve">UZ- Supply and Delivery of  impermo </t>
  </si>
  <si>
    <t>MSU Tender (Roof Renovation Works)</t>
  </si>
  <si>
    <t>UZ - Framework Agreement for the Supply and Delivery of Premix Concrete</t>
  </si>
  <si>
    <t>Provision of truck Gwanda to Hwange</t>
  </si>
  <si>
    <t xml:space="preserve">Broadcasting  Authority of Zimbabwe  (BAZ)- Repainting of  Office Building </t>
  </si>
  <si>
    <t>31/08/26</t>
  </si>
  <si>
    <t>ZETDC - Renovation of  Mutare Megawatt Carpark</t>
  </si>
  <si>
    <t>Kwekwe city council - supply and delivery of plate compactors</t>
  </si>
  <si>
    <t>UZ - Framework Agreement For the Supply and Delivery of Bricks</t>
  </si>
  <si>
    <t>14/08/26</t>
  </si>
  <si>
    <t xml:space="preserve">City of bulawayo - supply and delivery of construction materials  for pelandaba and iminyela </t>
  </si>
  <si>
    <t xml:space="preserve">ZETDC - Renovation of  Staff Houses - Gokwe </t>
  </si>
  <si>
    <t>21/08/27</t>
  </si>
  <si>
    <t>Ministry of national housing - expression of interest for the engineering construction of flats</t>
  </si>
  <si>
    <t>29/05/2026</t>
  </si>
  <si>
    <t xml:space="preserve">Municipality of Chegutu road opening, hauling , dumping and excavation works </t>
  </si>
  <si>
    <t>UZ - Pothole kits</t>
  </si>
  <si>
    <t>Municipality of bindura - supply and delivery of town planning service, Chipadze beer hall offices renovation materials</t>
  </si>
  <si>
    <t>15/06/2026</t>
  </si>
  <si>
    <t xml:space="preserve">Zim Parks supply and delivery of  tools, hardware and hardware tools </t>
  </si>
  <si>
    <t>27/08/27</t>
  </si>
  <si>
    <t>UZ - Tools and hardware</t>
  </si>
  <si>
    <t xml:space="preserve">ZRDC - Jerera Stadium Durawall Repairs </t>
  </si>
  <si>
    <t>UZ - TLB Hire for removal of debris</t>
  </si>
  <si>
    <t xml:space="preserve">ZESA - Hiring of  a 30 tonne truck </t>
  </si>
  <si>
    <t xml:space="preserve">Charles and Nomsa </t>
  </si>
  <si>
    <t>UZ Supply of toilet materials</t>
  </si>
  <si>
    <t>22/06/2026</t>
  </si>
  <si>
    <t xml:space="preserve">Kwekwe poly steel  doors </t>
  </si>
  <si>
    <t xml:space="preserve">Hardlife and Nyasha </t>
  </si>
  <si>
    <t>UZ - Plumbing materials</t>
  </si>
  <si>
    <t>BUSE - supply and delivery of tiles and accessories</t>
  </si>
  <si>
    <t>26/06/2026</t>
  </si>
  <si>
    <t xml:space="preserve">Colmore and Peter </t>
  </si>
  <si>
    <t>15/02/2026</t>
  </si>
  <si>
    <t>UZ - nails materials</t>
  </si>
  <si>
    <t xml:space="preserve">Ministry of Youth - supply and delivery of building materials </t>
  </si>
  <si>
    <t>Ministry of justice and legal - construction and renovation of buildings</t>
  </si>
  <si>
    <t>UZ - Fencing</t>
  </si>
  <si>
    <t>Citimed - floor refurbishment</t>
  </si>
  <si>
    <t>NetOne - domestic tender for partitioning and renovation works for five NetOne shops</t>
  </si>
  <si>
    <t>Christian</t>
  </si>
  <si>
    <t>18-20/08/2026</t>
  </si>
  <si>
    <t>Tongogara - Supply and delivery of road signs</t>
  </si>
  <si>
    <t>UZ - DRAINAGE MATERIALS AND FITTINGS FOR 2ND FLOOR, (BLOCK I) NEW STUDENTS HALL OF RESIDENCE</t>
  </si>
  <si>
    <t>20/05/2026</t>
  </si>
  <si>
    <t>Bindura Municipality - Supply and Delivery of Woodbrooke Primary School Construction Materials</t>
  </si>
  <si>
    <t>Peter</t>
  </si>
  <si>
    <t>Tongogara - Supply and delivery of roofing materials</t>
  </si>
  <si>
    <t>UZ - interlocking pavaers and quarry dust</t>
  </si>
  <si>
    <t xml:space="preserve">MOHCC-  Supply and delivery of hardware. </t>
  </si>
  <si>
    <t>23/08/26</t>
  </si>
  <si>
    <t>Maphisa - Plumbing materials</t>
  </si>
  <si>
    <t>28/05/206</t>
  </si>
  <si>
    <t>UZ - supply and delivery of cement</t>
  </si>
  <si>
    <t>daniel</t>
  </si>
  <si>
    <t xml:space="preserve">Manicaland State University Of Applied Sciences - Interlocking  Pavers </t>
  </si>
  <si>
    <t xml:space="preserve">Hardlife and Ruvimbo </t>
  </si>
  <si>
    <t xml:space="preserve">Bindura supply and delivery of town planning services </t>
  </si>
  <si>
    <t xml:space="preserve">26/05/2026 </t>
  </si>
  <si>
    <t>UZ - supply and delivery of aggregates</t>
  </si>
  <si>
    <t>Maphisa - Steelworks</t>
  </si>
  <si>
    <t>ZETDC - Construction of a Parking Shed at Bulawayo Meter Test</t>
  </si>
  <si>
    <t>28/05/2026</t>
  </si>
  <si>
    <t>UZ - Innovation hub painting materials</t>
  </si>
  <si>
    <t>17/08/27</t>
  </si>
  <si>
    <t>Mutare RDC - supply of road marking materials i.e meshwire, aggregates, culvert pipes and cement</t>
  </si>
  <si>
    <t>15/05/2026</t>
  </si>
  <si>
    <t>UZ - supply and delivery of tools and hardware</t>
  </si>
  <si>
    <t>22/07/2026</t>
  </si>
  <si>
    <t>Maphisa tilling materials</t>
  </si>
  <si>
    <t>Maphisa plumbing</t>
  </si>
  <si>
    <t xml:space="preserve">UZ-Electrical materials </t>
  </si>
  <si>
    <t xml:space="preserve"> Prince </t>
  </si>
  <si>
    <t>24/08/2026</t>
  </si>
  <si>
    <t>Rural Infrastructure Developing Agency</t>
  </si>
  <si>
    <t xml:space="preserve">UZ-Plumping materials </t>
  </si>
  <si>
    <t xml:space="preserve">Hardlife  </t>
  </si>
  <si>
    <t>24/09/2026</t>
  </si>
  <si>
    <t>Tertiary Education Service Council - Repair and maintainance of property buildings</t>
  </si>
  <si>
    <t xml:space="preserve">UZ- Tubing  materials </t>
  </si>
  <si>
    <t>24/10/2026</t>
  </si>
  <si>
    <t>29/09/2027</t>
  </si>
  <si>
    <t>Kwekwe polytechnic - tiling for hostels</t>
  </si>
  <si>
    <t>UBH-Supply and delivery of ceramic floor and wall tiles and adhesives</t>
  </si>
  <si>
    <t>Petrotrade - Forecourt concrete repair  works</t>
  </si>
  <si>
    <t>Grain Marketing Board (GMB) - Supply and Fixing of Prefabricated Office Block</t>
  </si>
  <si>
    <t>Bulawayo Khumalo</t>
  </si>
  <si>
    <t>Daniel/Colmore</t>
  </si>
  <si>
    <t xml:space="preserve">Murewa RDC - supply and delivery of building materials </t>
  </si>
  <si>
    <t>Mhondoro ngezi RDC - supply and delivery of office construction materials</t>
  </si>
  <si>
    <t xml:space="preserve">City of mutare - construction of Fernhill south cemetry </t>
  </si>
  <si>
    <t>Telone - Roofing repair RFQ</t>
  </si>
  <si>
    <t>Marondera Provinsional hospital - supply and delivery of plumbing and building materials</t>
  </si>
  <si>
    <t xml:space="preserve">CIty of bulawayo - supply and delivery of road asphalt materials </t>
  </si>
  <si>
    <t xml:space="preserve">Red cross - plumbing materials </t>
  </si>
  <si>
    <t>BUSE - Hire of 4WD Tractor Loader Backhoe (TLB)</t>
  </si>
  <si>
    <t>REDCROSS - Supply and delivery of PPE</t>
  </si>
  <si>
    <t>Chinhoyi university of Technology - supply and delivery of construction materials</t>
  </si>
  <si>
    <t>ZAS - ZRP Toilet plumbing</t>
  </si>
  <si>
    <t>ZESA HOLDIGS - DOZER HIRE</t>
  </si>
  <si>
    <t xml:space="preserve">ZENT - provision for crane hire services   </t>
  </si>
  <si>
    <t>15/08/2026</t>
  </si>
  <si>
    <t>ZETDC - Supply and delivery of construction materials</t>
  </si>
  <si>
    <t>18/07/2026</t>
  </si>
  <si>
    <t xml:space="preserve">Colmore </t>
  </si>
  <si>
    <t>22/09/2026</t>
  </si>
  <si>
    <t>22/10/2026</t>
  </si>
  <si>
    <t xml:space="preserve">University of Zimbabwe. Site visit for the Supply and fix of balustrades and Sports pavilion roof deck repairs </t>
  </si>
  <si>
    <t>prince</t>
  </si>
  <si>
    <t>University of Zimbabwe supply and delivery of Frosting Executive Toilets</t>
  </si>
  <si>
    <t xml:space="preserve">prince </t>
  </si>
  <si>
    <t>University of Zimbabwe supply and delivery of hardware and tools</t>
  </si>
  <si>
    <t>Chinhoyi University of Technology, supply and delivery of hardware and tools ASAP</t>
  </si>
  <si>
    <t xml:space="preserve">· Infrastructure Development Bank of Zimbabwe (IDBZ): Supply and Installation of Glass and Aluminium Partitions for First Floor Committee Room </t>
  </si>
  <si>
    <t>29/07/2026</t>
  </si>
  <si>
    <t>City of mutare - constrruction of beira corridor primary school</t>
  </si>
  <si>
    <t>28/07/2027</t>
  </si>
  <si>
    <t>City of mutare - construction of chikanga 2 primary school</t>
  </si>
  <si>
    <t>28/07/2028</t>
  </si>
  <si>
    <t>City of mutare - construction of gimboki primary school</t>
  </si>
  <si>
    <t>28/07/2029</t>
  </si>
  <si>
    <t>City of mutare - construction of Hobhouse primary school</t>
  </si>
  <si>
    <t>28/07/2030</t>
  </si>
  <si>
    <t>National museum and monuments - Mozambique ablution facilities</t>
  </si>
  <si>
    <t>Ministry of transport  infrastructure development - supply and delivery and installaiton of palisade fence at Skyline Camp</t>
  </si>
  <si>
    <t>23/07/2026</t>
  </si>
  <si>
    <t xml:space="preserve">Chipinge District Hospital - Provision of  Infrastructure Decommissioning and Walkway Repair Services </t>
  </si>
  <si>
    <t>ASSIGNED TO</t>
  </si>
  <si>
    <t xml:space="preserve">DATE </t>
  </si>
  <si>
    <t>TIME</t>
  </si>
  <si>
    <t>SITE VISITS</t>
  </si>
  <si>
    <t>Mutare United Methodist Educational Company (MUMEC) .Africa university construction of 92 beds</t>
  </si>
  <si>
    <t xml:space="preserve">charles </t>
  </si>
  <si>
    <t>31/O8/2026</t>
  </si>
  <si>
    <t>Kwekwe Poly; rennovation of tea rooms</t>
  </si>
  <si>
    <t xml:space="preserve"> University of Zimbabwe. Site visit for the Supply and fix of balustrades and Sports pavilion roof deck repairs </t>
  </si>
  <si>
    <t>24/O7/2026</t>
  </si>
  <si>
    <t>10;00HRS</t>
  </si>
  <si>
    <t>Redcross - Renovation of Durawall</t>
  </si>
  <si>
    <t>City of Kadoma - Market Construction and Town house parking renovation</t>
  </si>
  <si>
    <t>City of Kadoma - Renovation of  Rimuka clinic FCH</t>
  </si>
  <si>
    <t>City of Kadoma - Roads rehabilitation</t>
  </si>
  <si>
    <t xml:space="preserve">City of Kadoma - Rehabilitation of sewer ponds </t>
  </si>
  <si>
    <t>16/06/2026</t>
  </si>
  <si>
    <t>Ministry of Primary and Secondary Education - labour service for construction of double storey classroom block</t>
  </si>
  <si>
    <t>Minitsry of local government - construction of grasslands research institute admin block</t>
  </si>
  <si>
    <t>DANIEL</t>
  </si>
  <si>
    <t>19/05/2026</t>
  </si>
  <si>
    <t>Gwanda community share ownership trust - construction of a 3 upmarket blocks of flats - CATEGORY A only</t>
  </si>
  <si>
    <t>;./</t>
  </si>
  <si>
    <t>Municipality of bindura - supply and delivery of clear fencing at town house</t>
  </si>
  <si>
    <t>HARDLIFE</t>
  </si>
  <si>
    <t>20/05/206</t>
  </si>
  <si>
    <t>Zvimba RDC - construction of a 2x2 classroom block at Rydale ridge council school</t>
  </si>
  <si>
    <t>COLMORE</t>
  </si>
  <si>
    <t>National museums and monuments of zimbabwe - refurbishment of visitors center in great zimbabwe</t>
  </si>
  <si>
    <t>Marondera provincial hospital - renovations of the mental health unit</t>
  </si>
  <si>
    <t>PRINCE</t>
  </si>
  <si>
    <t>Khami prison distric council</t>
  </si>
  <si>
    <t>22/05/2026</t>
  </si>
  <si>
    <t>Municipality of marondera - procurement of perimeter fencing and accesories</t>
  </si>
  <si>
    <t>26/05/2026</t>
  </si>
  <si>
    <t xml:space="preserve">City of mutare - contsruction of childrens park </t>
  </si>
  <si>
    <t>Lupane state university - construction of staff flats</t>
  </si>
  <si>
    <t>CHARLES</t>
  </si>
  <si>
    <t xml:space="preserve">City of kadoma - Renovation of Rimuka Clinic
and FCH </t>
  </si>
  <si>
    <t>31/07/2027</t>
  </si>
  <si>
    <t>31/07/2028</t>
  </si>
  <si>
    <t>14/08/2029</t>
  </si>
  <si>
    <t>27/08/2030</t>
  </si>
  <si>
    <t xml:space="preserve">    </t>
  </si>
  <si>
    <t>TENDERS UPDATE</t>
  </si>
  <si>
    <t xml:space="preserve">ASSIGN TO </t>
  </si>
  <si>
    <t>PROCURING ENTITY CONTACT DETAILS</t>
  </si>
  <si>
    <t>SUBMISSION DATE AND TIME</t>
  </si>
  <si>
    <t>METHOD OF SUBMISSION</t>
  </si>
  <si>
    <t>STATUS/PROGRESS</t>
  </si>
  <si>
    <t>NEXT ACTION</t>
  </si>
  <si>
    <t>Kwekwe Polytechnic Tender (Library Ceiling Repair Works)</t>
  </si>
  <si>
    <t>Mr Mutongoreya – 0772101111</t>
  </si>
  <si>
    <t>EGP</t>
  </si>
  <si>
    <t>In Progress</t>
  </si>
  <si>
    <t>Cross-check and submit tender documents</t>
  </si>
  <si>
    <t>ZETDC Tender (Repair of Roof Deck)</t>
  </si>
  <si>
    <t>Mr P. Chinake – 0772353027</t>
  </si>
  <si>
    <t>Resume after priority tasks are completed</t>
  </si>
  <si>
    <t>CITIMED - refurbishment of floor</t>
  </si>
  <si>
    <t>Mrs hazel Marufu - 0775224660</t>
  </si>
  <si>
    <t>To follow up this morning</t>
  </si>
  <si>
    <t>UBH Tender (Supply, Delivery &amp; Installation of Vinyl Sheeting Materials)</t>
  </si>
  <si>
    <t>Mr Mauto – 0772612796</t>
  </si>
  <si>
    <t>Tender closes towards end of May 2026 and has not yet been started.</t>
  </si>
  <si>
    <t>Commence after completion of ZETDC tender</t>
  </si>
  <si>
    <t>City of Kadoma Tender (Supply and Delivery of Plumbing Materials)</t>
  </si>
  <si>
    <t>Miss Pretty Tenthani – 0773469586</t>
  </si>
  <si>
    <t>Begin after completion of UBH tender.</t>
  </si>
  <si>
    <t>Gokwe South RDC Tender (Completion of Ganyungu Clinic Construction)</t>
  </si>
  <si>
    <t>Miss Moreblessing Tarisai – 0775196909</t>
  </si>
  <si>
    <t>Commences after 15 May</t>
  </si>
  <si>
    <t>Mr F.
 Mupandaguta – 0774076371</t>
  </si>
  <si>
    <t>Physically hand delivered – hard copy</t>
  </si>
  <si>
    <t>Mr Richmond 0784490444</t>
  </si>
  <si>
    <t>Submitted by Daniel</t>
  </si>
  <si>
    <t>Mr Nigel - 0771146160</t>
  </si>
  <si>
    <t xml:space="preserve">ZEDTC supply and delivery of construction materials  at Mabvuku deport </t>
  </si>
  <si>
    <t>Mr Chinake - 0772612796</t>
  </si>
  <si>
    <t>Tender on hold closes towards end of MAY</t>
  </si>
  <si>
    <t>Commences after City of bulawayo tender</t>
  </si>
  <si>
    <t>Municiplaity of marondera - procurement of perimeter fencing and accessories</t>
  </si>
  <si>
    <t>Yet to be added</t>
  </si>
  <si>
    <t>Site visit on 26 may tender closing 8 june</t>
  </si>
  <si>
    <t>Tender on hold closes next month</t>
  </si>
  <si>
    <t>Mr G Simela - 0786840939</t>
  </si>
  <si>
    <t>Site visit 19 May 2026 closing 9 June</t>
  </si>
  <si>
    <t>Hand deliver</t>
  </si>
  <si>
    <t>Kwekwe city council - supply and delivery of concerte materials</t>
  </si>
  <si>
    <t>PMU - 263682122446</t>
  </si>
  <si>
    <t xml:space="preserve">Daniel to take over </t>
  </si>
  <si>
    <t>ZEDTC - renovations of dunken house</t>
  </si>
  <si>
    <t>ZETDC - Lydia</t>
  </si>
  <si>
    <t>Liasing with Colmore on quantities</t>
  </si>
  <si>
    <t>UZ - Battries</t>
  </si>
  <si>
    <t>Submitted, awaiting feedback</t>
  </si>
  <si>
    <t>Kwekwe city council - supply and delivery of materials</t>
  </si>
  <si>
    <t>Outsourcing materials</t>
  </si>
  <si>
    <t>Confirnming quantities specifications with pmu</t>
  </si>
  <si>
    <t>Zesa Enterprise - Hire of TLB</t>
  </si>
  <si>
    <t>Mr Matekari - 0784007649</t>
  </si>
  <si>
    <t>Outsourcing quotations</t>
  </si>
  <si>
    <t>ZETDC  - repair of ablution facilities</t>
  </si>
  <si>
    <t>Mr P Chinake</t>
  </si>
  <si>
    <t>Tender is being worked on</t>
  </si>
  <si>
    <t>Source for quotation</t>
  </si>
  <si>
    <t>Usher 0772533410</t>
  </si>
  <si>
    <t>Whatsapp</t>
  </si>
  <si>
    <t>To be submitted at the end of the day</t>
  </si>
  <si>
    <t xml:space="preserve">NSSA renovations </t>
  </si>
  <si>
    <t>Completed</t>
  </si>
  <si>
    <t>Petros to upload</t>
  </si>
  <si>
    <t>Gowke south RDC - Gunyungu clinic</t>
  </si>
  <si>
    <t>On hold</t>
  </si>
  <si>
    <t>Ruwa local board - water and sewer pipe replacement</t>
  </si>
  <si>
    <t xml:space="preserve">City of gweru </t>
  </si>
  <si>
    <t>Pmu - 0542224320</t>
  </si>
  <si>
    <t>UZ - ALUMINIUM WORKS AT MULTIPURPOSE LEARNING CENTER</t>
  </si>
  <si>
    <t>PMU - TENDER</t>
  </si>
  <si>
    <t>Currently sourcing quotations as bill of quantity is already available</t>
  </si>
  <si>
    <t>Chinhoyi university of Technology - Steel Shelving units 2000mm length by 960mm compartment width 335mm</t>
  </si>
  <si>
    <t>Mureza 0772967324</t>
  </si>
  <si>
    <t>Red cross - supply and delivery of dam liners and ph meter to Chipinge Checheche</t>
  </si>
  <si>
    <t>entity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</si>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</sst>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/dd/yyyy"/>
    <numFmt numFmtId="165" formatCode="m/d/yyyy"/>
    <numFmt numFmtId="166" formatCode="&quot;$&quot;#,##0"/>
    <numFmt numFmtId="167" formatCode="mm-dd-yyyy"/>
    <numFmt numFmtId="168" formatCode="M/d/yyyy"/>
    <numFmt numFmtId="169" formatCode="mm/dd/yy"/>
    <numFmt numFmtId="170" formatCode="ddmmyyyy"/>
    <numFmt numFmtId="171" formatCode="d mmmm yyyy"/>
    <numFmt numFmtId="172" formatCode="h:mm am/pm"/>
    <numFmt numFmtId="173" formatCode="dmmmm yyyy"/>
    <numFmt numFmtId="174" formatCode="dd mmmm yyyy"/>
    <numFmt numFmtId="175" formatCode="d mmmm"/>
  </numFmts>
  <fonts count="47">
    <font>
      <sz val="10.0"/>
      <color rgb="FF000000"/>
      <name val="Arial"/>
      <scheme val="minor"/>
    </font>
    <font>
      <b/>
      <sz val="40.0"/>
      <color theme="1"/>
      <name val="Arial"/>
    </font>
    <font>
      <b/>
      <sz val="35.0"/>
      <color theme="1"/>
      <name val="Calibri"/>
    </font>
    <font>
      <sz val="14.0"/>
      <color theme="1"/>
      <name val="Arial"/>
    </font>
    <font>
      <b/>
      <sz val="15.0"/>
      <color theme="1"/>
      <name val="Arial"/>
    </font>
    <font>
      <sz val="35.0"/>
      <color theme="1"/>
      <name val="Arial"/>
    </font>
    <font>
      <b/>
      <sz val="26.0"/>
      <color theme="1"/>
      <name val="Arial"/>
    </font>
    <font>
      <b/>
      <sz val="16.0"/>
      <color theme="1"/>
      <name val="Arial"/>
    </font>
    <font/>
    <font>
      <b/>
      <sz val="31.0"/>
      <color theme="1"/>
      <name val="Calibri"/>
    </font>
    <font>
      <sz val="16.0"/>
      <color theme="1"/>
      <name val="Arial"/>
    </font>
    <font>
      <sz val="15.0"/>
      <color theme="1"/>
      <name val="Arial"/>
    </font>
    <font>
      <b/>
      <sz val="30.0"/>
      <color theme="1"/>
      <name val="Calibri"/>
    </font>
    <font>
      <b/>
      <sz val="38.0"/>
      <color theme="1"/>
      <name val="Calibri"/>
    </font>
    <font>
      <b/>
      <sz val="31.0"/>
      <color theme="1"/>
      <name val="Arial"/>
    </font>
    <font>
      <b/>
      <sz val="18.0"/>
      <color theme="1"/>
      <name val="Arial"/>
    </font>
    <font>
      <sz val="30.0"/>
      <color theme="1"/>
      <name val="Calibri"/>
    </font>
    <font>
      <sz val="18.0"/>
      <color theme="1"/>
      <name val="Arial"/>
    </font>
    <font>
      <sz val="17.0"/>
      <color theme="1"/>
      <name val="Arial"/>
      <scheme val="minor"/>
    </font>
    <font>
      <sz val="18.0"/>
      <color theme="1"/>
      <name val="Lato"/>
    </font>
    <font>
      <b/>
      <sz val="17.0"/>
      <color theme="1"/>
      <name val="Arial"/>
    </font>
    <font>
      <b/>
      <sz val="14.0"/>
      <color theme="1"/>
      <name val="Arial"/>
    </font>
    <font>
      <sz val="17.0"/>
      <color theme="1"/>
      <name val="Arial"/>
    </font>
    <font>
      <u/>
      <sz val="15.0"/>
      <color theme="1"/>
      <name val="Arial"/>
    </font>
    <font>
      <sz val="30.0"/>
      <color theme="1"/>
      <name val="Arial"/>
    </font>
    <font>
      <sz val="15.0"/>
      <color theme="1"/>
      <name val="Times New Roman"/>
    </font>
    <font>
      <sz val="19.0"/>
      <color theme="1"/>
      <name val="Lato"/>
    </font>
    <font>
      <sz val="19.0"/>
      <color theme="1"/>
      <name val="Arial"/>
    </font>
    <font>
      <color theme="1"/>
      <name val="Arial"/>
    </font>
    <font>
      <b/>
      <sz val="22.0"/>
      <color theme="1"/>
      <name val="Arial"/>
    </font>
    <font>
      <sz val="19.0"/>
      <color theme="1"/>
      <name val="Arial"/>
      <scheme val="minor"/>
    </font>
    <font>
      <u/>
      <sz val="14.0"/>
      <color theme="1"/>
      <name val="Arial"/>
    </font>
    <font>
      <u/>
      <sz val="18.0"/>
      <color theme="1"/>
      <name val="Arial"/>
    </font>
    <font>
      <sz val="18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sz val="18.0"/>
      <color theme="1"/>
      <name val="&quot;Times New Roman&quot;"/>
    </font>
    <font>
      <sz val="18.0"/>
      <color theme="1"/>
      <name val="Times New Roman"/>
    </font>
    <font>
      <sz val="18.0"/>
      <color rgb="FF000000"/>
      <name val="Arial"/>
    </font>
    <font>
      <b/>
      <sz val="18.0"/>
      <color theme="1"/>
      <name val="Times New Roman"/>
    </font>
    <font>
      <sz val="18.0"/>
      <color rgb="FF000000"/>
      <name val="Times New Roman"/>
    </font>
    <font>
      <b/>
      <sz val="31.0"/>
      <color theme="1"/>
      <name val="Arial"/>
      <scheme val="minor"/>
    </font>
    <font>
      <b/>
      <sz val="17.0"/>
      <color theme="1"/>
      <name val="Arial"/>
      <scheme val="minor"/>
    </font>
    <font>
      <sz val="17.0"/>
      <color theme="1"/>
      <name val="&quot;Times New Roman&quot;"/>
    </font>
    <font>
      <b/>
      <sz val="14.0"/>
      <color theme="1"/>
      <name val="Arial"/>
      <scheme val="minor"/>
    </font>
    <font>
      <sz val="13.0"/>
      <color theme="1"/>
      <name val="Arial"/>
    </font>
    <font>
      <sz val="13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1" fillId="0" fontId="2" numFmtId="0" xfId="0" applyAlignment="1" applyBorder="1" applyFont="1">
      <alignment readingOrder="0" vertical="bottom"/>
    </xf>
    <xf borderId="1" fillId="2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ont="1">
      <alignment horizontal="left" vertical="bottom"/>
    </xf>
    <xf borderId="0" fillId="2" fontId="4" numFmtId="0" xfId="0" applyAlignment="1" applyFont="1">
      <alignment horizontal="left" readingOrder="0" shrinkToFit="0" vertical="bottom" wrapText="1"/>
    </xf>
    <xf borderId="1" fillId="0" fontId="5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2" fillId="2" fontId="1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readingOrder="0" vertical="bottom"/>
    </xf>
    <xf borderId="1" fillId="2" fontId="7" numFmtId="0" xfId="0" applyAlignment="1" applyBorder="1" applyFont="1">
      <alignment horizontal="left" readingOrder="0" shrinkToFit="0" vertical="bottom" wrapText="1"/>
    </xf>
    <xf borderId="3" fillId="0" fontId="8" numFmtId="0" xfId="0" applyBorder="1" applyFont="1"/>
    <xf borderId="1" fillId="0" fontId="9" numFmtId="164" xfId="0" applyAlignment="1" applyBorder="1" applyFont="1" applyNumberFormat="1">
      <alignment readingOrder="0" vertical="bottom"/>
    </xf>
    <xf borderId="1" fillId="2" fontId="10" numFmtId="0" xfId="0" applyAlignment="1" applyBorder="1" applyFont="1">
      <alignment readingOrder="0" vertical="bottom"/>
    </xf>
    <xf borderId="1" fillId="2" fontId="11" numFmtId="0" xfId="0" applyAlignment="1" applyBorder="1" applyFont="1">
      <alignment vertical="bottom"/>
    </xf>
    <xf borderId="1" fillId="2" fontId="10" numFmtId="0" xfId="0" applyAlignment="1" applyBorder="1" applyFont="1">
      <alignment vertical="bottom"/>
    </xf>
    <xf borderId="1" fillId="2" fontId="3" numFmtId="165" xfId="0" applyAlignment="1" applyBorder="1" applyFont="1" applyNumberFormat="1">
      <alignment vertical="bottom"/>
    </xf>
    <xf borderId="1" fillId="2" fontId="10" numFmtId="0" xfId="0" applyAlignment="1" applyBorder="1" applyFont="1">
      <alignment horizontal="left" vertical="bottom"/>
    </xf>
    <xf borderId="1" fillId="3" fontId="12" numFmtId="165" xfId="0" applyAlignment="1" applyBorder="1" applyFill="1" applyFont="1" applyNumberFormat="1">
      <alignment vertical="bottom"/>
    </xf>
    <xf borderId="1" fillId="2" fontId="3" numFmtId="166" xfId="0" applyAlignment="1" applyBorder="1" applyFont="1" applyNumberFormat="1">
      <alignment vertical="bottom"/>
    </xf>
    <xf borderId="1" fillId="2" fontId="7" numFmtId="0" xfId="0" applyAlignment="1" applyBorder="1" applyFont="1">
      <alignment shrinkToFit="0" vertical="bottom" wrapText="1"/>
    </xf>
    <xf borderId="1" fillId="3" fontId="13" numFmtId="0" xfId="0" applyAlignment="1" applyBorder="1" applyFont="1">
      <alignment horizontal="right" vertical="bottom"/>
    </xf>
    <xf borderId="0" fillId="2" fontId="4" numFmtId="0" xfId="0" applyAlignment="1" applyFont="1">
      <alignment shrinkToFit="0" vertical="bottom" wrapText="1"/>
    </xf>
    <xf borderId="0" fillId="0" fontId="11" numFmtId="0" xfId="0" applyFont="1"/>
    <xf borderId="1" fillId="3" fontId="14" numFmtId="0" xfId="0" applyAlignment="1" applyBorder="1" applyFont="1">
      <alignment horizontal="right" readingOrder="0" vertical="bottom"/>
    </xf>
    <xf borderId="1" fillId="2" fontId="15" numFmtId="0" xfId="0" applyAlignment="1" applyBorder="1" applyFont="1">
      <alignment shrinkToFit="0" vertical="bottom" wrapText="1"/>
    </xf>
    <xf borderId="1" fillId="4" fontId="12" numFmtId="0" xfId="0" applyAlignment="1" applyBorder="1" applyFill="1" applyFont="1">
      <alignment vertical="bottom"/>
    </xf>
    <xf borderId="1" fillId="2" fontId="15" numFmtId="0" xfId="0" applyAlignment="1" applyBorder="1" applyFont="1">
      <alignment readingOrder="0" shrinkToFit="0" vertical="bottom" wrapText="1"/>
    </xf>
    <xf borderId="1" fillId="4" fontId="16" numFmtId="0" xfId="0" applyAlignment="1" applyBorder="1" applyFont="1">
      <alignment horizontal="right" readingOrder="0" vertical="bottom"/>
    </xf>
    <xf borderId="0" fillId="2" fontId="3" numFmtId="0" xfId="0" applyAlignment="1" applyFont="1">
      <alignment vertical="bottom"/>
    </xf>
    <xf borderId="1" fillId="2" fontId="17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0" fillId="0" fontId="18" numFmtId="0" xfId="0" applyFont="1"/>
    <xf borderId="1" fillId="0" fontId="15" numFmtId="0" xfId="0" applyAlignment="1" applyBorder="1" applyFont="1">
      <alignment horizontal="left" readingOrder="0" vertical="bottom"/>
    </xf>
    <xf borderId="1" fillId="0" fontId="16" numFmtId="0" xfId="0" applyAlignment="1" applyBorder="1" applyFont="1">
      <alignment horizontal="right" readingOrder="0" vertical="bottom"/>
    </xf>
    <xf borderId="0" fillId="2" fontId="11" numFmtId="0" xfId="0" applyAlignment="1" applyFont="1">
      <alignment readingOrder="0" shrinkToFit="0" vertical="bottom" wrapText="1"/>
    </xf>
    <xf borderId="1" fillId="0" fontId="15" numFmtId="0" xfId="0" applyAlignment="1" applyBorder="1" applyFont="1">
      <alignment readingOrder="0" vertical="bottom"/>
    </xf>
    <xf borderId="1" fillId="0" fontId="19" numFmtId="0" xfId="0" applyAlignment="1" applyBorder="1" applyFont="1">
      <alignment horizontal="left" readingOrder="0" shrinkToFit="0" vertical="top" wrapText="1"/>
    </xf>
    <xf borderId="1" fillId="0" fontId="17" numFmtId="0" xfId="0" applyAlignment="1" applyBorder="1" applyFont="1">
      <alignment vertical="bottom"/>
    </xf>
    <xf borderId="1" fillId="2" fontId="15" numFmtId="164" xfId="0" applyAlignment="1" applyBorder="1" applyFont="1" applyNumberFormat="1">
      <alignment horizontal="left" readingOrder="0" shrinkToFit="0" vertical="bottom" wrapText="1"/>
    </xf>
    <xf borderId="1" fillId="2" fontId="15" numFmtId="0" xfId="0" applyAlignment="1" applyBorder="1" applyFont="1">
      <alignment horizontal="right" shrinkToFit="0" vertical="bottom" wrapText="1"/>
    </xf>
    <xf borderId="1" fillId="2" fontId="15" numFmtId="0" xfId="0" applyAlignment="1" applyBorder="1" applyFont="1">
      <alignment readingOrder="0" vertical="bottom"/>
    </xf>
    <xf borderId="1" fillId="2" fontId="20" numFmtId="0" xfId="0" applyAlignment="1" applyBorder="1" applyFont="1">
      <alignment shrinkToFit="0" vertical="bottom" wrapText="1"/>
    </xf>
    <xf borderId="1" fillId="2" fontId="7" numFmtId="0" xfId="0" applyAlignment="1" applyBorder="1" applyFont="1">
      <alignment readingOrder="0" shrinkToFit="0" vertical="bottom" wrapText="1"/>
    </xf>
    <xf borderId="1" fillId="2" fontId="21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readingOrder="0" vertical="bottom"/>
    </xf>
    <xf borderId="1" fillId="2" fontId="17" numFmtId="0" xfId="0" applyAlignment="1" applyBorder="1" applyFont="1">
      <alignment horizontal="right" readingOrder="0" shrinkToFit="0" vertical="bottom" wrapText="1"/>
    </xf>
    <xf borderId="0" fillId="2" fontId="11" numFmtId="0" xfId="0" applyAlignment="1" applyFont="1">
      <alignment vertical="bottom"/>
    </xf>
    <xf borderId="0" fillId="2" fontId="3" numFmtId="0" xfId="0" applyAlignment="1" applyFont="1">
      <alignment readingOrder="0" shrinkToFit="0" vertical="bottom" wrapText="1"/>
    </xf>
    <xf borderId="1" fillId="2" fontId="17" numFmtId="0" xfId="0" applyAlignment="1" applyBorder="1" applyFont="1">
      <alignment horizontal="right" readingOrder="0" vertical="bottom"/>
    </xf>
    <xf borderId="1" fillId="5" fontId="16" numFmtId="0" xfId="0" applyAlignment="1" applyBorder="1" applyFill="1" applyFont="1">
      <alignment horizontal="right" readingOrder="0" vertical="bottom"/>
    </xf>
    <xf borderId="1" fillId="0" fontId="17" numFmtId="0" xfId="0" applyAlignment="1" applyBorder="1" applyFont="1">
      <alignment horizontal="left" readingOrder="0"/>
    </xf>
    <xf borderId="1" fillId="2" fontId="7" numFmtId="0" xfId="0" applyAlignment="1" applyBorder="1" applyFont="1">
      <alignment horizontal="left" shrinkToFit="0" vertical="bottom" wrapText="1"/>
    </xf>
    <xf borderId="1" fillId="2" fontId="17" numFmtId="0" xfId="0" applyAlignment="1" applyBorder="1" applyFont="1">
      <alignment horizontal="right" shrinkToFit="0" vertical="bottom" wrapText="1"/>
    </xf>
    <xf borderId="1" fillId="0" fontId="17" numFmtId="0" xfId="0" applyAlignment="1" applyBorder="1" applyFont="1">
      <alignment readingOrder="0"/>
    </xf>
    <xf borderId="1" fillId="0" fontId="17" numFmtId="164" xfId="0" applyAlignment="1" applyBorder="1" applyFont="1" applyNumberFormat="1">
      <alignment readingOrder="0"/>
    </xf>
    <xf borderId="1" fillId="2" fontId="17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center" readingOrder="0" vertical="bottom"/>
    </xf>
    <xf borderId="1" fillId="0" fontId="17" numFmtId="0" xfId="0" applyBorder="1" applyFont="1"/>
    <xf borderId="1" fillId="2" fontId="17" numFmtId="164" xfId="0" applyAlignment="1" applyBorder="1" applyFont="1" applyNumberFormat="1">
      <alignment horizontal="right" readingOrder="0" shrinkToFit="0" vertical="bottom" wrapText="1"/>
    </xf>
    <xf borderId="1" fillId="2" fontId="17" numFmtId="166" xfId="0" applyAlignment="1" applyBorder="1" applyFont="1" applyNumberFormat="1">
      <alignment horizontal="right" readingOrder="0" vertical="bottom"/>
    </xf>
    <xf borderId="1" fillId="0" fontId="12" numFmtId="0" xfId="0" applyAlignment="1" applyBorder="1" applyFont="1">
      <alignment horizontal="left" readingOrder="0" vertical="bottom"/>
    </xf>
    <xf borderId="1" fillId="2" fontId="22" numFmtId="0" xfId="0" applyAlignment="1" applyBorder="1" applyFont="1">
      <alignment horizontal="right" readingOrder="0" shrinkToFit="0" vertical="bottom" wrapText="1"/>
    </xf>
    <xf borderId="1" fillId="2" fontId="3" numFmtId="0" xfId="0" applyAlignment="1" applyBorder="1" applyFont="1">
      <alignment horizontal="right" readingOrder="0" shrinkToFit="0" vertical="bottom" wrapText="1"/>
    </xf>
    <xf borderId="0" fillId="2" fontId="23" numFmtId="0" xfId="0" applyAlignment="1" applyFont="1">
      <alignment horizontal="right" vertical="bottom"/>
    </xf>
    <xf borderId="1" fillId="0" fontId="12" numFmtId="0" xfId="0" applyAlignment="1" applyBorder="1" applyFont="1">
      <alignment horizontal="right" readingOrder="0" vertical="bottom"/>
    </xf>
    <xf borderId="2" fillId="0" fontId="12" numFmtId="0" xfId="0" applyAlignment="1" applyBorder="1" applyFont="1">
      <alignment horizontal="center" readingOrder="0" vertical="bottom"/>
    </xf>
    <xf borderId="4" fillId="0" fontId="8" numFmtId="0" xfId="0" applyBorder="1" applyFont="1"/>
    <xf borderId="2" fillId="6" fontId="15" numFmtId="0" xfId="0" applyAlignment="1" applyBorder="1" applyFill="1" applyFont="1">
      <alignment readingOrder="0" shrinkToFit="0" vertical="bottom" wrapText="1"/>
    </xf>
    <xf borderId="1" fillId="0" fontId="24" numFmtId="0" xfId="0" applyAlignment="1" applyBorder="1" applyFont="1">
      <alignment horizontal="right" readingOrder="0" vertical="bottom"/>
    </xf>
    <xf borderId="0" fillId="2" fontId="11" numFmtId="0" xfId="0" applyFont="1"/>
    <xf borderId="1" fillId="2" fontId="17" numFmtId="164" xfId="0" applyAlignment="1" applyBorder="1" applyFont="1" applyNumberFormat="1">
      <alignment horizontal="right" readingOrder="0" vertical="bottom"/>
    </xf>
    <xf borderId="0" fillId="2" fontId="25" numFmtId="0" xfId="0" applyAlignment="1" applyFont="1">
      <alignment readingOrder="0" shrinkToFit="0" vertical="bottom" wrapText="1"/>
    </xf>
    <xf borderId="1" fillId="0" fontId="26" numFmtId="0" xfId="0" applyAlignment="1" applyBorder="1" applyFont="1">
      <alignment horizontal="left" readingOrder="0" shrinkToFit="0" vertical="top" wrapText="1"/>
    </xf>
    <xf borderId="1" fillId="2" fontId="27" numFmtId="0" xfId="0" applyAlignment="1" applyBorder="1" applyFont="1">
      <alignment horizontal="right" readingOrder="0" shrinkToFit="0" vertical="bottom" wrapText="1"/>
    </xf>
    <xf borderId="1" fillId="0" fontId="27" numFmtId="0" xfId="0" applyAlignment="1" applyBorder="1" applyFont="1">
      <alignment horizontal="left" readingOrder="0"/>
    </xf>
    <xf borderId="1" fillId="2" fontId="27" numFmtId="166" xfId="0" applyAlignment="1" applyBorder="1" applyFont="1" applyNumberFormat="1">
      <alignment readingOrder="0" vertical="bottom"/>
    </xf>
    <xf borderId="1" fillId="2" fontId="17" numFmtId="0" xfId="0" applyAlignment="1" applyBorder="1" applyFont="1">
      <alignment readingOrder="0" shrinkToFit="0" vertical="bottom" wrapText="1"/>
    </xf>
    <xf borderId="0" fillId="0" fontId="28" numFmtId="0" xfId="0" applyAlignment="1" applyFont="1">
      <alignment vertical="bottom"/>
    </xf>
    <xf borderId="1" fillId="0" fontId="27" numFmtId="164" xfId="0" applyAlignment="1" applyBorder="1" applyFont="1" applyNumberFormat="1">
      <alignment horizontal="left" readingOrder="0"/>
    </xf>
    <xf borderId="1" fillId="2" fontId="17" numFmtId="164" xfId="0" applyAlignment="1" applyBorder="1" applyFont="1" applyNumberFormat="1">
      <alignment readingOrder="0" vertical="bottom"/>
    </xf>
    <xf borderId="1" fillId="2" fontId="17" numFmtId="0" xfId="0" applyAlignment="1" applyBorder="1" applyFont="1">
      <alignment horizontal="left" readingOrder="0" shrinkToFit="0" vertical="bottom" wrapText="1"/>
    </xf>
    <xf borderId="1" fillId="0" fontId="26" numFmtId="0" xfId="0" applyAlignment="1" applyBorder="1" applyFont="1">
      <alignment horizontal="left" readingOrder="0" vertical="top"/>
    </xf>
    <xf borderId="1" fillId="2" fontId="17" numFmtId="0" xfId="0" applyAlignment="1" applyBorder="1" applyFont="1">
      <alignment horizontal="left" readingOrder="0" vertical="bottom"/>
    </xf>
    <xf borderId="1" fillId="2" fontId="27" numFmtId="0" xfId="0" applyAlignment="1" applyBorder="1" applyFont="1">
      <alignment horizontal="right" readingOrder="0" vertical="bottom"/>
    </xf>
    <xf borderId="1" fillId="2" fontId="27" numFmtId="0" xfId="0" applyAlignment="1" applyBorder="1" applyFont="1">
      <alignment readingOrder="0" shrinkToFit="0" vertical="bottom" wrapText="1"/>
    </xf>
    <xf borderId="0" fillId="5" fontId="29" numFmtId="0" xfId="0" applyAlignment="1" applyFont="1">
      <alignment readingOrder="0" shrinkToFit="0" vertical="bottom" wrapText="1"/>
    </xf>
    <xf borderId="2" fillId="5" fontId="29" numFmtId="0" xfId="0" applyAlignment="1" applyBorder="1" applyFont="1">
      <alignment readingOrder="0"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readingOrder="0" shrinkToFit="0" vertical="bottom" wrapText="1"/>
    </xf>
    <xf borderId="1" fillId="0" fontId="27" numFmtId="0" xfId="0" applyAlignment="1" applyBorder="1" applyFont="1">
      <alignment readingOrder="0"/>
    </xf>
    <xf borderId="1" fillId="2" fontId="17" numFmtId="0" xfId="0" applyAlignment="1" applyBorder="1" applyFont="1">
      <alignment shrinkToFit="0" vertical="bottom" wrapText="1"/>
    </xf>
    <xf borderId="1" fillId="2" fontId="17" numFmtId="167" xfId="0" applyAlignment="1" applyBorder="1" applyFont="1" applyNumberFormat="1">
      <alignment horizontal="right" shrinkToFit="0" vertical="bottom" wrapText="1"/>
    </xf>
    <xf borderId="1" fillId="0" fontId="27" numFmtId="0" xfId="0" applyBorder="1" applyFont="1"/>
    <xf borderId="1" fillId="2" fontId="22" numFmtId="0" xfId="0" applyAlignment="1" applyBorder="1" applyFont="1">
      <alignment horizontal="right" shrinkToFit="0" vertical="bottom" wrapText="1"/>
    </xf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1" fillId="0" fontId="30" numFmtId="0" xfId="0" applyAlignment="1" applyBorder="1" applyFont="1">
      <alignment readingOrder="0"/>
    </xf>
    <xf borderId="1" fillId="2" fontId="17" numFmtId="166" xfId="0" applyAlignment="1" applyBorder="1" applyFont="1" applyNumberFormat="1">
      <alignment horizontal="right" shrinkToFit="0" vertical="bottom" wrapText="1"/>
    </xf>
    <xf borderId="1" fillId="7" fontId="17" numFmtId="0" xfId="0" applyAlignment="1" applyBorder="1" applyFill="1" applyFont="1">
      <alignment horizontal="left" readingOrder="0" vertical="bottom"/>
    </xf>
    <xf borderId="1" fillId="7" fontId="17" numFmtId="0" xfId="0" applyAlignment="1" applyBorder="1" applyFont="1">
      <alignment readingOrder="0" vertical="bottom"/>
    </xf>
    <xf borderId="0" fillId="5" fontId="11" numFmtId="0" xfId="0" applyAlignment="1" applyFont="1">
      <alignment readingOrder="0" shrinkToFit="0" wrapText="1"/>
    </xf>
    <xf borderId="1" fillId="0" fontId="27" numFmtId="0" xfId="0" applyAlignment="1" applyBorder="1" applyFont="1">
      <alignment horizontal="right" readingOrder="0"/>
    </xf>
    <xf borderId="1" fillId="2" fontId="31" numFmtId="0" xfId="0" applyAlignment="1" applyBorder="1" applyFont="1">
      <alignment horizontal="right" vertical="bottom"/>
    </xf>
    <xf borderId="1" fillId="5" fontId="11" numFmtId="0" xfId="0" applyAlignment="1" applyBorder="1" applyFont="1">
      <alignment readingOrder="0" shrinkToFit="0" wrapText="1"/>
    </xf>
    <xf borderId="1" fillId="2" fontId="17" numFmtId="166" xfId="0" applyAlignment="1" applyBorder="1" applyFont="1" applyNumberFormat="1">
      <alignment vertical="bottom"/>
    </xf>
    <xf borderId="1" fillId="5" fontId="11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readingOrder="0" shrinkToFit="0" wrapText="1"/>
    </xf>
    <xf borderId="1" fillId="2" fontId="32" numFmtId="0" xfId="0" applyAlignment="1" applyBorder="1" applyFont="1">
      <alignment horizontal="right" readingOrder="0" vertical="bottom"/>
    </xf>
    <xf borderId="1" fillId="0" fontId="17" numFmtId="0" xfId="0" applyAlignment="1" applyBorder="1" applyFont="1">
      <alignment horizontal="right" readingOrder="0"/>
    </xf>
    <xf borderId="1" fillId="0" fontId="22" numFmtId="0" xfId="0" applyAlignment="1" applyBorder="1" applyFont="1">
      <alignment horizontal="right" readingOrder="0"/>
    </xf>
    <xf borderId="1" fillId="0" fontId="3" numFmtId="0" xfId="0" applyBorder="1" applyFont="1"/>
    <xf borderId="1" fillId="0" fontId="11" numFmtId="0" xfId="0" applyBorder="1" applyFont="1"/>
    <xf borderId="1" fillId="0" fontId="17" numFmtId="0" xfId="0" applyAlignment="1" applyBorder="1" applyFont="1">
      <alignment readingOrder="0" shrinkToFit="0" wrapText="1"/>
    </xf>
    <xf borderId="0" fillId="0" fontId="27" numFmtId="0" xfId="0" applyFont="1"/>
    <xf borderId="1" fillId="2" fontId="17" numFmtId="166" xfId="0" applyAlignment="1" applyBorder="1" applyFont="1" applyNumberFormat="1">
      <alignment readingOrder="0" vertical="bottom"/>
    </xf>
    <xf borderId="1" fillId="0" fontId="11" numFmtId="164" xfId="0" applyAlignment="1" applyBorder="1" applyFont="1" applyNumberFormat="1">
      <alignment readingOrder="0"/>
    </xf>
    <xf borderId="1" fillId="2" fontId="17" numFmtId="0" xfId="0" applyAlignment="1" applyBorder="1" applyFont="1">
      <alignment horizontal="right" vertical="bottom"/>
    </xf>
    <xf borderId="1" fillId="0" fontId="17" numFmtId="165" xfId="0" applyAlignment="1" applyBorder="1" applyFont="1" applyNumberFormat="1">
      <alignment readingOrder="0"/>
    </xf>
    <xf borderId="1" fillId="0" fontId="11" numFmtId="0" xfId="0" applyAlignment="1" applyBorder="1" applyFont="1">
      <alignment readingOrder="0" shrinkToFit="0" vertical="bottom" wrapText="1"/>
    </xf>
    <xf borderId="1" fillId="2" fontId="17" numFmtId="167" xfId="0" applyAlignment="1" applyBorder="1" applyFont="1" applyNumberFormat="1">
      <alignment horizontal="right" readingOrder="0" shrinkToFit="0" vertical="bottom" wrapText="1"/>
    </xf>
    <xf borderId="1" fillId="0" fontId="11" numFmtId="0" xfId="0" applyAlignment="1" applyBorder="1" applyFont="1">
      <alignment readingOrder="0" vertical="bottom"/>
    </xf>
    <xf borderId="1" fillId="0" fontId="33" numFmtId="0" xfId="0" applyAlignment="1" applyBorder="1" applyFont="1">
      <alignment readingOrder="0"/>
    </xf>
    <xf borderId="1" fillId="0" fontId="11" numFmtId="166" xfId="0" applyAlignment="1" applyBorder="1" applyFont="1" applyNumberFormat="1">
      <alignment readingOrder="0" vertical="bottom"/>
    </xf>
    <xf borderId="1" fillId="0" fontId="27" numFmtId="0" xfId="0" applyAlignment="1" applyBorder="1" applyFont="1">
      <alignment horizontal="left"/>
    </xf>
    <xf borderId="1" fillId="2" fontId="33" numFmtId="0" xfId="0" applyAlignment="1" applyBorder="1" applyFont="1">
      <alignment readingOrder="0"/>
    </xf>
    <xf borderId="1" fillId="2" fontId="11" numFmtId="0" xfId="0" applyAlignment="1" applyBorder="1" applyFont="1">
      <alignment shrinkToFit="0" vertical="bottom" wrapText="1"/>
    </xf>
    <xf borderId="1" fillId="2" fontId="33" numFmtId="0" xfId="0" applyAlignment="1" applyBorder="1" applyFont="1">
      <alignment horizontal="left" readingOrder="0"/>
    </xf>
    <xf borderId="1" fillId="2" fontId="11" numFmtId="0" xfId="0" applyAlignment="1" applyBorder="1" applyFont="1">
      <alignment readingOrder="0" vertical="bottom"/>
    </xf>
    <xf borderId="1" fillId="2" fontId="11" numFmtId="165" xfId="0" applyAlignment="1" applyBorder="1" applyFont="1" applyNumberFormat="1">
      <alignment horizontal="right" shrinkToFit="0" vertical="bottom" wrapText="1"/>
    </xf>
    <xf borderId="1" fillId="2" fontId="11" numFmtId="166" xfId="0" applyAlignment="1" applyBorder="1" applyFont="1" applyNumberFormat="1">
      <alignment horizontal="right" shrinkToFit="0" vertical="bottom" wrapText="1"/>
    </xf>
    <xf borderId="1" fillId="2" fontId="17" numFmtId="168" xfId="0" applyAlignment="1" applyBorder="1" applyFont="1" applyNumberFormat="1">
      <alignment horizontal="right" shrinkToFit="0" vertical="bottom" wrapText="1"/>
    </xf>
    <xf borderId="1" fillId="0" fontId="27" numFmtId="169" xfId="0" applyAlignment="1" applyBorder="1" applyFont="1" applyNumberFormat="1">
      <alignment readingOrder="0"/>
    </xf>
    <xf borderId="1" fillId="0" fontId="11" numFmtId="0" xfId="0" applyAlignment="1" applyBorder="1" applyFont="1">
      <alignment shrinkToFit="0" vertical="bottom" wrapText="1"/>
    </xf>
    <xf borderId="1" fillId="0" fontId="11" numFmtId="164" xfId="0" applyAlignment="1" applyBorder="1" applyFont="1" applyNumberFormat="1">
      <alignment horizontal="right" vertical="bottom"/>
    </xf>
    <xf borderId="1" fillId="0" fontId="11" numFmtId="166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horizontal="right" vertical="bottom"/>
    </xf>
    <xf borderId="1" fillId="0" fontId="27" numFmtId="169" xfId="0" applyAlignment="1" applyBorder="1" applyFont="1" applyNumberFormat="1">
      <alignment horizontal="left" readingOrder="0"/>
    </xf>
    <xf borderId="1" fillId="2" fontId="17" numFmtId="170" xfId="0" applyAlignment="1" applyBorder="1" applyFont="1" applyNumberFormat="1">
      <alignment horizontal="right" readingOrder="0" shrinkToFit="0" vertical="bottom" wrapText="1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left" readingOrder="0"/>
    </xf>
    <xf borderId="1" fillId="0" fontId="11" numFmtId="166" xfId="0" applyAlignment="1" applyBorder="1" applyFont="1" applyNumberFormat="1">
      <alignment readingOrder="0"/>
    </xf>
    <xf borderId="1" fillId="2" fontId="17" numFmtId="166" xfId="0" applyAlignment="1" applyBorder="1" applyFont="1" applyNumberFormat="1">
      <alignment horizontal="right" readingOrder="0" shrinkToFit="0" vertical="bottom" wrapText="1"/>
    </xf>
    <xf borderId="1" fillId="5" fontId="17" numFmtId="165" xfId="0" applyAlignment="1" applyBorder="1" applyFont="1" applyNumberFormat="1">
      <alignment readingOrder="0"/>
    </xf>
    <xf borderId="1" fillId="5" fontId="17" numFmtId="0" xfId="0" applyAlignment="1" applyBorder="1" applyFont="1">
      <alignment horizontal="right" readingOrder="0"/>
    </xf>
    <xf borderId="1" fillId="5" fontId="22" numFmtId="0" xfId="0" applyAlignment="1" applyBorder="1" applyFont="1">
      <alignment horizontal="right" readingOrder="0"/>
    </xf>
    <xf borderId="1" fillId="5" fontId="34" numFmtId="0" xfId="0" applyAlignment="1" applyBorder="1" applyFont="1">
      <alignment readingOrder="0" shrinkToFit="0" wrapText="1"/>
    </xf>
    <xf borderId="1" fillId="0" fontId="27" numFmtId="171" xfId="0" applyAlignment="1" applyBorder="1" applyFont="1" applyNumberFormat="1">
      <alignment horizontal="left" readingOrder="0"/>
    </xf>
    <xf borderId="1" fillId="0" fontId="17" numFmtId="0" xfId="0" applyAlignment="1" applyBorder="1" applyFont="1">
      <alignment horizontal="right"/>
    </xf>
    <xf borderId="1" fillId="5" fontId="17" numFmtId="0" xfId="0" applyBorder="1" applyFont="1"/>
    <xf borderId="1" fillId="5" fontId="17" numFmtId="164" xfId="0" applyAlignment="1" applyBorder="1" applyFont="1" applyNumberFormat="1">
      <alignment readingOrder="0"/>
    </xf>
    <xf borderId="1" fillId="8" fontId="17" numFmtId="0" xfId="0" applyAlignment="1" applyBorder="1" applyFill="1" applyFont="1">
      <alignment readingOrder="0" shrinkToFit="0" vertical="bottom" wrapText="1"/>
    </xf>
    <xf borderId="1" fillId="5" fontId="34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1" fillId="8" fontId="17" numFmtId="0" xfId="0" applyAlignment="1" applyBorder="1" applyFont="1">
      <alignment horizontal="right" readingOrder="0" shrinkToFit="0" vertical="bottom" wrapText="1"/>
    </xf>
    <xf borderId="1" fillId="8" fontId="33" numFmtId="0" xfId="0" applyAlignment="1" applyBorder="1" applyFont="1">
      <alignment horizontal="right" readingOrder="0"/>
    </xf>
    <xf borderId="0" fillId="0" fontId="11" numFmtId="169" xfId="0" applyAlignment="1" applyFont="1" applyNumberFormat="1">
      <alignment readingOrder="0"/>
    </xf>
    <xf borderId="1" fillId="8" fontId="33" numFmtId="0" xfId="0" applyBorder="1" applyFont="1"/>
    <xf borderId="1" fillId="8" fontId="17" numFmtId="0" xfId="0" applyAlignment="1" applyBorder="1" applyFont="1">
      <alignment readingOrder="0"/>
    </xf>
    <xf borderId="0" fillId="8" fontId="18" numFmtId="0" xfId="0" applyFont="1"/>
    <xf borderId="0" fillId="8" fontId="35" numFmtId="0" xfId="0" applyFont="1"/>
    <xf borderId="1" fillId="0" fontId="22" numFmtId="0" xfId="0" applyBorder="1" applyFont="1"/>
    <xf borderId="1" fillId="0" fontId="17" numFmtId="0" xfId="0" applyAlignment="1" applyBorder="1" applyFont="1">
      <alignment horizontal="left"/>
    </xf>
    <xf borderId="1" fillId="0" fontId="33" numFmtId="0" xfId="0" applyAlignment="1" applyBorder="1" applyFont="1">
      <alignment horizontal="right" readingOrder="0"/>
    </xf>
    <xf borderId="1" fillId="0" fontId="33" numFmtId="0" xfId="0" applyBorder="1" applyFont="1"/>
    <xf borderId="1" fillId="2" fontId="33" numFmtId="0" xfId="0" applyAlignment="1" applyBorder="1" applyFont="1">
      <alignment horizontal="right" readingOrder="0"/>
    </xf>
    <xf borderId="1" fillId="2" fontId="33" numFmtId="165" xfId="0" applyAlignment="1" applyBorder="1" applyFont="1" applyNumberFormat="1">
      <alignment readingOrder="0"/>
    </xf>
    <xf borderId="1" fillId="2" fontId="33" numFmtId="0" xfId="0" applyBorder="1" applyFont="1"/>
    <xf borderId="1" fillId="2" fontId="36" numFmtId="0" xfId="0" applyAlignment="1" applyBorder="1" applyFont="1">
      <alignment readingOrder="0"/>
    </xf>
    <xf borderId="1" fillId="2" fontId="33" numFmtId="164" xfId="0" applyAlignment="1" applyBorder="1" applyFont="1" applyNumberFormat="1">
      <alignment readingOrder="0"/>
    </xf>
    <xf borderId="1" fillId="0" fontId="30" numFmtId="0" xfId="0" applyBorder="1" applyFont="1"/>
    <xf borderId="1" fillId="0" fontId="33" numFmtId="164" xfId="0" applyAlignment="1" applyBorder="1" applyFont="1" applyNumberFormat="1">
      <alignment readingOrder="0"/>
    </xf>
    <xf borderId="0" fillId="0" fontId="17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22" numFmtId="0" xfId="0" applyFont="1"/>
    <xf borderId="0" fillId="0" fontId="33" numFmtId="0" xfId="0" applyFont="1"/>
    <xf borderId="0" fillId="0" fontId="22" numFmtId="0" xfId="0" applyAlignment="1" applyFont="1">
      <alignment readingOrder="0"/>
    </xf>
    <xf borderId="1" fillId="0" fontId="33" numFmtId="0" xfId="0" applyAlignment="1" applyBorder="1" applyFont="1">
      <alignment horizontal="right"/>
    </xf>
    <xf borderId="0" fillId="2" fontId="37" numFmtId="0" xfId="0" applyAlignment="1" applyFont="1">
      <alignment readingOrder="0" shrinkToFit="0" vertical="bottom" wrapText="1"/>
    </xf>
    <xf borderId="1" fillId="0" fontId="17" numFmtId="164" xfId="0" applyAlignment="1" applyBorder="1" applyFont="1" applyNumberFormat="1">
      <alignment horizontal="left" readingOrder="0"/>
    </xf>
    <xf borderId="0" fillId="0" fontId="17" numFmtId="164" xfId="0" applyAlignment="1" applyFont="1" applyNumberFormat="1">
      <alignment readingOrder="0"/>
    </xf>
    <xf borderId="1" fillId="7" fontId="17" numFmtId="0" xfId="0" applyAlignment="1" applyBorder="1" applyFont="1">
      <alignment readingOrder="0"/>
    </xf>
    <xf borderId="0" fillId="0" fontId="17" numFmtId="169" xfId="0" applyAlignment="1" applyFont="1" applyNumberFormat="1">
      <alignment readingOrder="0"/>
    </xf>
    <xf borderId="1" fillId="0" fontId="17" numFmtId="169" xfId="0" applyAlignment="1" applyBorder="1" applyFont="1" applyNumberFormat="1">
      <alignment readingOrder="0"/>
    </xf>
    <xf borderId="1" fillId="2" fontId="38" numFmtId="0" xfId="0" applyAlignment="1" applyBorder="1" applyFont="1">
      <alignment readingOrder="0"/>
    </xf>
    <xf borderId="1" fillId="0" fontId="17" numFmtId="169" xfId="0" applyAlignment="1" applyBorder="1" applyFont="1" applyNumberFormat="1">
      <alignment horizontal="left" readingOrder="0"/>
    </xf>
    <xf borderId="1" fillId="0" fontId="33" numFmtId="0" xfId="0" applyAlignment="1" applyBorder="1" applyFont="1">
      <alignment horizontal="left" readingOrder="0"/>
    </xf>
    <xf borderId="0" fillId="0" fontId="11" numFmtId="0" xfId="0" applyAlignment="1" applyFont="1">
      <alignment horizontal="left"/>
    </xf>
    <xf borderId="0" fillId="0" fontId="17" numFmtId="0" xfId="0" applyAlignment="1" applyFont="1">
      <alignment horizontal="right" readingOrder="0"/>
    </xf>
    <xf borderId="1" fillId="0" fontId="33" numFmtId="164" xfId="0" applyAlignment="1" applyBorder="1" applyFont="1" applyNumberFormat="1">
      <alignment horizontal="right" readingOrder="0"/>
    </xf>
    <xf borderId="0" fillId="0" fontId="17" numFmtId="0" xfId="0" applyAlignment="1" applyFont="1">
      <alignment horizontal="left"/>
    </xf>
    <xf borderId="1" fillId="0" fontId="17" numFmtId="0" xfId="0" applyAlignment="1" applyBorder="1" applyFont="1">
      <alignment readingOrder="0" shrinkToFit="0" vertical="bottom" wrapText="1"/>
    </xf>
    <xf borderId="1" fillId="0" fontId="17" numFmtId="0" xfId="0" applyAlignment="1" applyBorder="1" applyFont="1">
      <alignment horizontal="left" readingOrder="0" shrinkToFit="0" vertical="top" wrapText="1"/>
    </xf>
    <xf borderId="1" fillId="0" fontId="37" numFmtId="0" xfId="0" applyAlignment="1" applyBorder="1" applyFont="1">
      <alignment readingOrder="0" shrinkToFit="0" wrapText="1"/>
    </xf>
    <xf borderId="1" fillId="2" fontId="37" numFmtId="0" xfId="0" applyAlignment="1" applyBorder="1" applyFont="1">
      <alignment horizontal="right" readingOrder="0" shrinkToFit="0" vertical="bottom" wrapText="1"/>
    </xf>
    <xf borderId="1" fillId="0" fontId="37" numFmtId="0" xfId="0" applyAlignment="1" applyBorder="1" applyFont="1">
      <alignment horizontal="right" readingOrder="0" shrinkToFit="0" wrapText="1"/>
    </xf>
    <xf borderId="1" fillId="0" fontId="37" numFmtId="0" xfId="0" applyAlignment="1" applyBorder="1" applyFont="1">
      <alignment readingOrder="0"/>
    </xf>
    <xf borderId="1" fillId="0" fontId="37" numFmtId="0" xfId="0" applyAlignment="1" applyBorder="1" applyFont="1">
      <alignment horizontal="right" readingOrder="0"/>
    </xf>
    <xf borderId="1" fillId="0" fontId="35" numFmtId="0" xfId="0" applyBorder="1" applyFont="1"/>
    <xf borderId="1" fillId="7" fontId="27" numFmtId="0" xfId="0" applyAlignment="1" applyBorder="1" applyFont="1">
      <alignment readingOrder="0" shrinkToFit="0" wrapText="1"/>
    </xf>
    <xf borderId="0" fillId="2" fontId="39" numFmtId="0" xfId="0" applyAlignment="1" applyFont="1">
      <alignment shrinkToFit="0" vertical="bottom" wrapText="1"/>
    </xf>
    <xf borderId="0" fillId="2" fontId="39" numFmtId="0" xfId="0" applyAlignment="1" applyFont="1">
      <alignment shrinkToFit="0" vertical="bottom" wrapText="1"/>
    </xf>
    <xf borderId="0" fillId="0" fontId="37" numFmtId="0" xfId="0" applyAlignment="1" applyFont="1">
      <alignment readingOrder="0"/>
    </xf>
    <xf borderId="0" fillId="5" fontId="39" numFmtId="0" xfId="0" applyAlignment="1" applyFont="1">
      <alignment shrinkToFit="0" vertical="bottom" wrapText="1"/>
    </xf>
    <xf borderId="0" fillId="5" fontId="37" numFmtId="0" xfId="0" applyAlignment="1" applyFont="1">
      <alignment vertical="bottom"/>
    </xf>
    <xf borderId="0" fillId="5" fontId="37" numFmtId="0" xfId="0" applyAlignment="1" applyFont="1">
      <alignment vertical="bottom"/>
    </xf>
    <xf borderId="0" fillId="0" fontId="37" numFmtId="0" xfId="0" applyFont="1"/>
    <xf borderId="1" fillId="0" fontId="40" numFmtId="0" xfId="0" applyAlignment="1" applyBorder="1" applyFont="1">
      <alignment readingOrder="0" shrinkToFit="0" vertical="bottom" wrapText="0"/>
    </xf>
    <xf borderId="1" fillId="0" fontId="37" numFmtId="164" xfId="0" applyAlignment="1" applyBorder="1" applyFont="1" applyNumberFormat="1">
      <alignment readingOrder="0"/>
    </xf>
    <xf borderId="1" fillId="0" fontId="37" numFmtId="172" xfId="0" applyAlignment="1" applyBorder="1" applyFont="1" applyNumberFormat="1">
      <alignment readingOrder="0"/>
    </xf>
    <xf borderId="1" fillId="0" fontId="37" numFmtId="0" xfId="0" applyBorder="1" applyFont="1"/>
    <xf borderId="1" fillId="0" fontId="37" numFmtId="0" xfId="0" applyAlignment="1" applyBorder="1" applyFont="1">
      <alignment shrinkToFit="0" vertical="bottom" wrapText="1"/>
    </xf>
    <xf borderId="1" fillId="0" fontId="37" numFmtId="0" xfId="0" applyAlignment="1" applyBorder="1" applyFont="1">
      <alignment readingOrder="0" vertical="bottom"/>
    </xf>
    <xf borderId="1" fillId="0" fontId="37" numFmtId="0" xfId="0" applyAlignment="1" applyBorder="1" applyFont="1">
      <alignment vertical="bottom"/>
    </xf>
    <xf borderId="1" fillId="2" fontId="37" numFmtId="0" xfId="0" applyAlignment="1" applyBorder="1" applyFont="1">
      <alignment horizontal="left" readingOrder="0" shrinkToFit="0" vertical="bottom" wrapText="1"/>
    </xf>
    <xf borderId="1" fillId="2" fontId="37" numFmtId="0" xfId="0" applyAlignment="1" applyBorder="1" applyFont="1">
      <alignment readingOrder="0" shrinkToFit="0" vertical="bottom" wrapText="1"/>
    </xf>
    <xf borderId="0" fillId="0" fontId="10" numFmtId="0" xfId="0" applyFont="1"/>
    <xf borderId="1" fillId="0" fontId="17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1" numFmtId="0" xfId="0" applyAlignment="1" applyFont="1">
      <alignment readingOrder="0"/>
    </xf>
    <xf borderId="0" fillId="0" fontId="41" numFmtId="173" xfId="0" applyAlignment="1" applyFont="1" applyNumberFormat="1">
      <alignment readingOrder="0"/>
    </xf>
    <xf borderId="0" fillId="0" fontId="42" numFmtId="0" xfId="0" applyAlignment="1" applyFont="1">
      <alignment horizontal="center" readingOrder="0"/>
    </xf>
    <xf borderId="0" fillId="0" fontId="42" numFmtId="0" xfId="0" applyAlignment="1" applyFont="1">
      <alignment readingOrder="0"/>
    </xf>
    <xf borderId="0" fillId="0" fontId="42" numFmtId="0" xfId="0" applyAlignment="1" applyFont="1">
      <alignment horizontal="left" readingOrder="0"/>
    </xf>
    <xf borderId="0" fillId="9" fontId="18" numFmtId="0" xfId="0" applyFill="1" applyFont="1"/>
    <xf borderId="0" fillId="9" fontId="43" numFmtId="0" xfId="0" applyAlignment="1" applyFont="1">
      <alignment readingOrder="0"/>
    </xf>
    <xf borderId="0" fillId="9" fontId="18" numFmtId="171" xfId="0" applyAlignment="1" applyFont="1" applyNumberFormat="1">
      <alignment readingOrder="0"/>
    </xf>
    <xf borderId="0" fillId="9" fontId="18" numFmtId="0" xfId="0" applyAlignment="1" applyFont="1">
      <alignment horizontal="center" readingOrder="0" vertical="top"/>
    </xf>
    <xf borderId="0" fillId="9" fontId="43" numFmtId="171" xfId="0" applyAlignment="1" applyFont="1" applyNumberFormat="1">
      <alignment readingOrder="0"/>
    </xf>
    <xf borderId="0" fillId="9" fontId="18" numFmtId="0" xfId="0" applyAlignment="1" applyFont="1">
      <alignment readingOrder="0"/>
    </xf>
    <xf borderId="0" fillId="9" fontId="42" numFmtId="0" xfId="0" applyAlignment="1" applyFont="1">
      <alignment horizontal="center" readingOrder="0"/>
    </xf>
    <xf borderId="0" fillId="9" fontId="18" numFmtId="0" xfId="0" applyAlignment="1" applyFont="1">
      <alignment horizontal="left" readingOrder="0"/>
    </xf>
    <xf borderId="0" fillId="9" fontId="18" numFmtId="174" xfId="0" applyAlignment="1" applyFont="1" applyNumberFormat="1">
      <alignment readingOrder="0"/>
    </xf>
    <xf borderId="0" fillId="9" fontId="18" numFmtId="0" xfId="0" applyAlignment="1" applyFont="1">
      <alignment readingOrder="0" vertical="top"/>
    </xf>
    <xf borderId="0" fillId="9" fontId="43" numFmtId="0" xfId="0" applyAlignment="1" applyFont="1">
      <alignment horizontal="left" readingOrder="0"/>
    </xf>
    <xf borderId="0" fillId="8" fontId="18" numFmtId="0" xfId="0" applyAlignment="1" applyFont="1">
      <alignment readingOrder="0"/>
    </xf>
    <xf borderId="0" fillId="8" fontId="18" numFmtId="171" xfId="0" applyAlignment="1" applyFont="1" applyNumberFormat="1">
      <alignment readingOrder="0"/>
    </xf>
    <xf borderId="0" fillId="8" fontId="42" numFmtId="0" xfId="0" applyAlignment="1" applyFont="1">
      <alignment horizontal="center" readingOrder="0"/>
    </xf>
    <xf borderId="0" fillId="8" fontId="18" numFmtId="0" xfId="0" applyAlignment="1" applyFont="1">
      <alignment horizontal="right" readingOrder="0"/>
    </xf>
    <xf borderId="1" fillId="0" fontId="22" numFmtId="0" xfId="0" applyAlignment="1" applyBorder="1" applyFont="1">
      <alignment shrinkToFit="0" vertical="bottom" wrapText="1"/>
    </xf>
    <xf borderId="0" fillId="0" fontId="18" numFmtId="0" xfId="0" applyAlignment="1" applyFont="1">
      <alignment readingOrder="0"/>
    </xf>
    <xf borderId="0" fillId="10" fontId="18" numFmtId="0" xfId="0" applyFill="1" applyFont="1"/>
    <xf borderId="0" fillId="10" fontId="18" numFmtId="0" xfId="0" applyAlignment="1" applyFont="1">
      <alignment readingOrder="0"/>
    </xf>
    <xf borderId="0" fillId="10" fontId="18" numFmtId="171" xfId="0" applyAlignment="1" applyFont="1" applyNumberFormat="1">
      <alignment readingOrder="0"/>
    </xf>
    <xf borderId="0" fillId="10" fontId="42" numFmtId="0" xfId="0" applyAlignment="1" applyFont="1">
      <alignment horizontal="center" readingOrder="0"/>
    </xf>
    <xf borderId="0" fillId="11" fontId="18" numFmtId="0" xfId="0" applyFill="1" applyFont="1"/>
    <xf borderId="0" fillId="11" fontId="18" numFmtId="0" xfId="0" applyAlignment="1" applyFont="1">
      <alignment readingOrder="0"/>
    </xf>
    <xf borderId="0" fillId="11" fontId="18" numFmtId="175" xfId="0" applyAlignment="1" applyFont="1" applyNumberFormat="1">
      <alignment readingOrder="0"/>
    </xf>
    <xf borderId="0" fillId="11" fontId="18" numFmtId="171" xfId="0" applyAlignment="1" applyFont="1" applyNumberFormat="1">
      <alignment readingOrder="0"/>
    </xf>
    <xf borderId="0" fillId="11" fontId="42" numFmtId="0" xfId="0" applyAlignment="1" applyFont="1">
      <alignment horizontal="center" readingOrder="0"/>
    </xf>
    <xf borderId="0" fillId="0" fontId="18" numFmtId="171" xfId="0" applyAlignment="1" applyFont="1" applyNumberFormat="1">
      <alignment readingOrder="0"/>
    </xf>
    <xf borderId="0" fillId="0" fontId="44" numFmtId="0" xfId="0" applyAlignment="1" applyFont="1">
      <alignment readingOrder="0"/>
    </xf>
    <xf borderId="0" fillId="0" fontId="35" numFmtId="0" xfId="0" applyAlignment="1" applyFont="1">
      <alignment readingOrder="0" shrinkToFit="0" wrapText="1"/>
    </xf>
    <xf borderId="0" fillId="0" fontId="35" numFmtId="0" xfId="0" applyAlignment="1" applyFont="1">
      <alignment readingOrder="0"/>
    </xf>
    <xf borderId="1" fillId="0" fontId="45" numFmtId="0" xfId="0" applyAlignment="1" applyBorder="1" applyFont="1">
      <alignment readingOrder="0"/>
    </xf>
    <xf borderId="1" fillId="0" fontId="45" numFmtId="0" xfId="0" applyAlignment="1" applyBorder="1" applyFont="1">
      <alignment horizontal="right" readingOrder="0"/>
    </xf>
    <xf borderId="1" fillId="0" fontId="45" numFmtId="0" xfId="0" applyBorder="1" applyFont="1"/>
    <xf borderId="1" fillId="0" fontId="46" numFmtId="0" xfId="0" applyAlignment="1" applyBorder="1" applyFont="1">
      <alignment readingOrder="0"/>
    </xf>
    <xf borderId="1" fillId="0" fontId="46" numFmtId="0" xfId="0" applyBorder="1" applyFont="1"/>
    <xf borderId="1" fillId="0" fontId="46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2.0"/>
    <col customWidth="1" min="2" max="2" width="26.75"/>
    <col customWidth="1" min="3" max="3" width="26.0"/>
  </cols>
  <sheetData>
    <row r="1">
      <c r="A1" s="2" t="s">
        <v>0</v>
      </c>
      <c r="B1" s="4"/>
      <c r="C1" s="7"/>
    </row>
    <row r="2" ht="36.0" customHeight="1">
      <c r="A2" s="10" t="s">
        <v>4</v>
      </c>
      <c r="B2" s="13">
        <v>46150.0</v>
      </c>
      <c r="C2" s="7"/>
    </row>
    <row r="3">
      <c r="A3" s="7"/>
      <c r="B3" s="7"/>
      <c r="C3" s="7"/>
    </row>
    <row r="4">
      <c r="A4" s="19"/>
      <c r="B4" s="22" t="s">
        <v>6</v>
      </c>
      <c r="C4" s="25" t="s">
        <v>7</v>
      </c>
    </row>
    <row r="5">
      <c r="A5" s="27" t="s">
        <v>9</v>
      </c>
      <c r="B5" s="29">
        <v>228.0</v>
      </c>
      <c r="C5" s="29">
        <v>220.0</v>
      </c>
    </row>
    <row r="6">
      <c r="A6" s="32"/>
      <c r="B6" s="35"/>
      <c r="C6" s="35"/>
    </row>
    <row r="7">
      <c r="A7" s="32" t="s">
        <v>19</v>
      </c>
      <c r="B7" s="35">
        <v>120.0</v>
      </c>
      <c r="C7" s="35">
        <v>120.0</v>
      </c>
    </row>
    <row r="8">
      <c r="A8" s="32" t="s">
        <v>21</v>
      </c>
      <c r="B8" s="35">
        <v>52.0</v>
      </c>
      <c r="C8" s="35">
        <v>52.0</v>
      </c>
    </row>
    <row r="9">
      <c r="A9" s="46" t="s">
        <v>28</v>
      </c>
      <c r="B9" s="51">
        <f t="shared" ref="B9:C9" si="1">B7+B8</f>
        <v>172</v>
      </c>
      <c r="C9" s="51">
        <f t="shared" si="1"/>
        <v>172</v>
      </c>
    </row>
    <row r="10">
      <c r="A10" s="58"/>
      <c r="B10" s="58"/>
      <c r="C10" s="58"/>
    </row>
    <row r="11">
      <c r="A11" s="62" t="s">
        <v>39</v>
      </c>
      <c r="B11" s="66">
        <f t="shared" ref="B11:C11" si="2">B5-B9</f>
        <v>56</v>
      </c>
      <c r="C11" s="66">
        <f t="shared" si="2"/>
        <v>48</v>
      </c>
    </row>
    <row r="12">
      <c r="A12" s="58"/>
      <c r="B12" s="58"/>
      <c r="C12" s="58"/>
    </row>
    <row r="13">
      <c r="A13" s="67" t="s">
        <v>45</v>
      </c>
      <c r="B13" s="68"/>
      <c r="C13" s="12"/>
    </row>
    <row r="14">
      <c r="A14" s="46" t="s">
        <v>48</v>
      </c>
      <c r="B14" s="35">
        <v>0.0</v>
      </c>
      <c r="C14" s="70">
        <v>0.0</v>
      </c>
    </row>
    <row r="15">
      <c r="A15" s="46" t="s">
        <v>51</v>
      </c>
      <c r="B15" s="35">
        <v>0.0</v>
      </c>
      <c r="C15" s="70">
        <v>0.0</v>
      </c>
    </row>
    <row r="16">
      <c r="A16" s="46" t="s">
        <v>52</v>
      </c>
      <c r="B16" s="35">
        <v>0.0</v>
      </c>
      <c r="C16" s="70">
        <f>C14+C15</f>
        <v>0</v>
      </c>
    </row>
    <row r="17">
      <c r="A17" s="32"/>
      <c r="B17" s="35"/>
      <c r="C17" s="70"/>
    </row>
    <row r="18">
      <c r="A18" s="32"/>
      <c r="B18" s="35"/>
      <c r="C18" s="70"/>
    </row>
    <row r="19">
      <c r="A19" s="32" t="s">
        <v>59</v>
      </c>
      <c r="B19" s="35">
        <v>0.0</v>
      </c>
      <c r="C19" s="70">
        <v>0.0</v>
      </c>
    </row>
    <row r="20">
      <c r="A20" s="32"/>
      <c r="B20" s="35"/>
      <c r="C20" s="70"/>
    </row>
    <row r="21">
      <c r="A21" s="32"/>
      <c r="B21" s="35"/>
      <c r="C21" s="70"/>
    </row>
    <row r="22">
      <c r="A22" s="32"/>
      <c r="B22" s="35"/>
      <c r="C22" s="70"/>
    </row>
    <row r="23">
      <c r="A23" s="79"/>
      <c r="B23" s="79" t="s">
        <v>0</v>
      </c>
      <c r="C23" s="79"/>
    </row>
  </sheetData>
  <mergeCells count="1">
    <mergeCell ref="A13:C13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75"/>
    <col customWidth="1" min="2" max="2" width="104.75"/>
    <col customWidth="1" min="3" max="3" width="29.88"/>
    <col customWidth="1" min="4" max="4" width="15.25"/>
    <col customWidth="1" min="5" max="5" width="21.38"/>
    <col customWidth="1" min="6" max="6" width="15.25"/>
    <col customWidth="1" min="7" max="7" width="24.5"/>
  </cols>
  <sheetData>
    <row r="1" ht="29.25" customHeight="1">
      <c r="A1" s="6"/>
      <c r="B1" s="11" t="s">
        <v>3</v>
      </c>
      <c r="C1" s="14" t="s">
        <v>3</v>
      </c>
      <c r="D1" s="16"/>
      <c r="E1" s="18"/>
      <c r="F1" s="21" t="s">
        <v>5</v>
      </c>
      <c r="G1" s="16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3"/>
      <c r="B2" s="40">
        <v>46150.0</v>
      </c>
      <c r="C2" s="21" t="s">
        <v>22</v>
      </c>
      <c r="D2" s="21" t="s">
        <v>12</v>
      </c>
      <c r="E2" s="11" t="s">
        <v>25</v>
      </c>
      <c r="F2" s="21" t="s">
        <v>14</v>
      </c>
      <c r="G2" s="44" t="s">
        <v>26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43.5" customHeight="1">
      <c r="A3" s="48"/>
      <c r="B3" s="16"/>
      <c r="C3" s="21" t="s">
        <v>30</v>
      </c>
      <c r="D3" s="21" t="s">
        <v>31</v>
      </c>
      <c r="E3" s="53" t="s">
        <v>34</v>
      </c>
      <c r="F3" s="16"/>
      <c r="G3" s="44" t="s">
        <v>37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48"/>
      <c r="B4" s="16"/>
      <c r="C4" s="16"/>
      <c r="D4" s="16"/>
      <c r="E4" s="18"/>
      <c r="F4" s="16"/>
      <c r="G4" s="16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48.75" customHeight="1">
      <c r="A5" s="23"/>
      <c r="B5" s="69" t="s">
        <v>47</v>
      </c>
      <c r="C5" s="68"/>
      <c r="D5" s="68"/>
      <c r="E5" s="68"/>
      <c r="F5" s="68"/>
      <c r="G5" s="12"/>
      <c r="H5" s="24"/>
      <c r="I5" s="71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44.25" customHeight="1">
      <c r="A6" s="73">
        <v>1.0</v>
      </c>
      <c r="B6" s="74" t="s">
        <v>56</v>
      </c>
      <c r="C6" s="75" t="s">
        <v>33</v>
      </c>
      <c r="D6" s="75"/>
      <c r="E6" s="76" t="s">
        <v>58</v>
      </c>
      <c r="F6" s="77"/>
      <c r="G6" s="75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44.25" customHeight="1">
      <c r="A7" s="73">
        <v>2.0</v>
      </c>
      <c r="B7" s="74" t="s">
        <v>63</v>
      </c>
      <c r="C7" s="75" t="s">
        <v>55</v>
      </c>
      <c r="D7" s="75"/>
      <c r="E7" s="76" t="s">
        <v>65</v>
      </c>
      <c r="F7" s="77"/>
      <c r="G7" s="7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44.25" customHeight="1">
      <c r="A8" s="73">
        <v>3.0</v>
      </c>
      <c r="B8" s="74" t="s">
        <v>72</v>
      </c>
      <c r="C8" s="75" t="s">
        <v>35</v>
      </c>
      <c r="D8" s="75" t="s">
        <v>75</v>
      </c>
      <c r="E8" s="80">
        <v>46335.0</v>
      </c>
      <c r="F8" s="77"/>
      <c r="G8" s="75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44.25" customHeight="1">
      <c r="A9" s="73">
        <v>4.0</v>
      </c>
      <c r="B9" s="74" t="s">
        <v>79</v>
      </c>
      <c r="C9" s="75" t="s">
        <v>55</v>
      </c>
      <c r="D9" s="75" t="s">
        <v>81</v>
      </c>
      <c r="E9" s="76" t="s">
        <v>82</v>
      </c>
      <c r="F9" s="77" t="s">
        <v>74</v>
      </c>
      <c r="G9" s="7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44.25" customHeight="1">
      <c r="A10" s="73">
        <v>5.0</v>
      </c>
      <c r="B10" s="74" t="s">
        <v>85</v>
      </c>
      <c r="C10" s="75" t="s">
        <v>35</v>
      </c>
      <c r="D10" s="75"/>
      <c r="E10" s="76" t="s">
        <v>87</v>
      </c>
      <c r="F10" s="77"/>
      <c r="G10" s="75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44.25" customHeight="1">
      <c r="A11" s="73">
        <v>6.0</v>
      </c>
      <c r="B11" s="74" t="s">
        <v>90</v>
      </c>
      <c r="C11" s="75" t="s">
        <v>43</v>
      </c>
      <c r="D11" s="75"/>
      <c r="E11" s="76" t="s">
        <v>87</v>
      </c>
      <c r="F11" s="77"/>
      <c r="G11" s="7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44.25" customHeight="1">
      <c r="A12" s="73">
        <v>7.0</v>
      </c>
      <c r="B12" s="74" t="s">
        <v>95</v>
      </c>
      <c r="C12" s="75" t="s">
        <v>33</v>
      </c>
      <c r="D12" s="75"/>
      <c r="E12" s="76" t="s">
        <v>87</v>
      </c>
      <c r="F12" s="77"/>
      <c r="G12" s="7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44.25" customHeight="1">
      <c r="A13" s="73">
        <v>8.0</v>
      </c>
      <c r="B13" s="83" t="s">
        <v>99</v>
      </c>
      <c r="C13" s="75" t="s">
        <v>29</v>
      </c>
      <c r="D13" s="85"/>
      <c r="E13" s="76" t="s">
        <v>101</v>
      </c>
      <c r="F13" s="77"/>
      <c r="G13" s="75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44.25" customHeight="1">
      <c r="A14" s="73">
        <v>9.0</v>
      </c>
      <c r="B14" s="86" t="s">
        <v>104</v>
      </c>
      <c r="C14" s="75" t="s">
        <v>33</v>
      </c>
      <c r="D14" s="85"/>
      <c r="E14" s="80">
        <v>46181.0</v>
      </c>
      <c r="F14" s="77"/>
      <c r="G14" s="75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44.25" customHeight="1">
      <c r="A15" s="73">
        <v>10.0</v>
      </c>
      <c r="B15" s="86" t="s">
        <v>109</v>
      </c>
      <c r="C15" s="75" t="s">
        <v>98</v>
      </c>
      <c r="D15" s="85" t="s">
        <v>111</v>
      </c>
      <c r="E15" s="80">
        <v>46120.0</v>
      </c>
      <c r="F15" s="77"/>
      <c r="G15" s="75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38.25" customHeight="1">
      <c r="A16" s="73">
        <v>11.0</v>
      </c>
      <c r="B16" s="91" t="s">
        <v>114</v>
      </c>
      <c r="C16" s="75" t="s">
        <v>98</v>
      </c>
      <c r="D16" s="91" t="s">
        <v>118</v>
      </c>
      <c r="E16" s="80">
        <v>46364.0</v>
      </c>
      <c r="F16" s="94"/>
      <c r="G16" s="9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37.5" customHeight="1">
      <c r="A17" s="73">
        <v>12.0</v>
      </c>
      <c r="B17" s="98" t="s">
        <v>122</v>
      </c>
      <c r="C17" s="75" t="s">
        <v>29</v>
      </c>
      <c r="D17" s="94"/>
      <c r="E17" s="76" t="s">
        <v>118</v>
      </c>
      <c r="F17" s="94"/>
      <c r="G17" s="9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37.5" customHeight="1">
      <c r="A18" s="73">
        <v>13.0</v>
      </c>
      <c r="B18" s="91" t="s">
        <v>127</v>
      </c>
      <c r="C18" s="103" t="s">
        <v>129</v>
      </c>
      <c r="D18" s="94"/>
      <c r="E18" s="76" t="s">
        <v>132</v>
      </c>
      <c r="F18" s="94"/>
      <c r="G18" s="9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43.5" customHeight="1">
      <c r="A19" s="73">
        <v>14.0</v>
      </c>
      <c r="B19" s="91" t="s">
        <v>140</v>
      </c>
      <c r="C19" s="103" t="s">
        <v>29</v>
      </c>
      <c r="D19" s="94"/>
      <c r="E19" s="80">
        <v>46303.0</v>
      </c>
      <c r="F19" s="94"/>
      <c r="G19" s="9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43.5" customHeight="1">
      <c r="A20" s="73">
        <v>15.0</v>
      </c>
      <c r="B20" s="91" t="s">
        <v>145</v>
      </c>
      <c r="C20" s="103" t="s">
        <v>43</v>
      </c>
      <c r="D20" s="94"/>
      <c r="E20" s="80">
        <v>46120.0</v>
      </c>
      <c r="F20" s="94"/>
      <c r="G20" s="9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>
      <c r="A21" s="73">
        <v>16.0</v>
      </c>
      <c r="B21" s="91" t="s">
        <v>154</v>
      </c>
      <c r="C21" s="91" t="s">
        <v>155</v>
      </c>
      <c r="D21" s="94"/>
      <c r="E21" s="76" t="s">
        <v>87</v>
      </c>
      <c r="F21" s="94"/>
      <c r="G21" s="9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73">
        <v>17.0</v>
      </c>
      <c r="B22" s="91" t="s">
        <v>161</v>
      </c>
      <c r="C22" s="91" t="s">
        <v>163</v>
      </c>
      <c r="D22" s="94"/>
      <c r="E22" s="76" t="s">
        <v>165</v>
      </c>
      <c r="F22" s="94"/>
      <c r="G22" s="116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73">
        <v>18.0</v>
      </c>
      <c r="B23" s="91" t="s">
        <v>170</v>
      </c>
      <c r="C23" s="91" t="s">
        <v>129</v>
      </c>
      <c r="D23" s="94"/>
      <c r="E23" s="76" t="s">
        <v>172</v>
      </c>
      <c r="F23" s="94"/>
      <c r="G23" s="116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>
      <c r="A24" s="73">
        <v>19.0</v>
      </c>
      <c r="B24" s="91" t="s">
        <v>176</v>
      </c>
      <c r="C24" s="91" t="s">
        <v>46</v>
      </c>
      <c r="D24" s="91" t="s">
        <v>177</v>
      </c>
      <c r="E24" s="76" t="s">
        <v>180</v>
      </c>
      <c r="F24" s="94"/>
      <c r="G24" s="116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73">
        <v>20.0</v>
      </c>
      <c r="B25" s="91" t="s">
        <v>187</v>
      </c>
      <c r="C25" s="91" t="s">
        <v>188</v>
      </c>
      <c r="D25" s="94"/>
      <c r="E25" s="76" t="s">
        <v>65</v>
      </c>
      <c r="F25" s="94"/>
      <c r="G25" s="116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73" t="s">
        <v>193</v>
      </c>
      <c r="B26" s="91" t="s">
        <v>195</v>
      </c>
      <c r="C26" s="91" t="s">
        <v>163</v>
      </c>
      <c r="D26" s="94"/>
      <c r="E26" s="126"/>
      <c r="F26" s="94"/>
      <c r="G26" s="116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>
      <c r="A27" s="73">
        <v>22.0</v>
      </c>
      <c r="B27" s="91" t="s">
        <v>199</v>
      </c>
      <c r="C27" s="91" t="s">
        <v>188</v>
      </c>
      <c r="D27" s="94"/>
      <c r="E27" s="76" t="s">
        <v>202</v>
      </c>
      <c r="F27" s="94"/>
      <c r="G27" s="116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23.25" customHeight="1">
      <c r="A28" s="73">
        <v>23.0</v>
      </c>
      <c r="B28" s="91" t="s">
        <v>206</v>
      </c>
      <c r="C28" s="91" t="s">
        <v>163</v>
      </c>
      <c r="D28" s="94"/>
      <c r="E28" s="76" t="s">
        <v>207</v>
      </c>
      <c r="F28" s="94"/>
      <c r="G28" s="116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73">
        <v>24.0</v>
      </c>
      <c r="B29" s="91" t="s">
        <v>213</v>
      </c>
      <c r="C29" s="91" t="s">
        <v>188</v>
      </c>
      <c r="D29" s="94"/>
      <c r="E29" s="76" t="s">
        <v>217</v>
      </c>
      <c r="F29" s="94"/>
      <c r="G29" s="116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73">
        <v>25.0</v>
      </c>
      <c r="B30" s="91" t="s">
        <v>222</v>
      </c>
      <c r="C30" s="91" t="s">
        <v>155</v>
      </c>
      <c r="D30" s="134">
        <v>46120.0</v>
      </c>
      <c r="E30" s="76" t="s">
        <v>224</v>
      </c>
      <c r="F30" s="94"/>
      <c r="G30" s="116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34.5" customHeight="1">
      <c r="A31" s="73">
        <v>26.0</v>
      </c>
      <c r="B31" s="91" t="s">
        <v>229</v>
      </c>
      <c r="C31" s="91" t="s">
        <v>163</v>
      </c>
      <c r="D31" s="91" t="s">
        <v>231</v>
      </c>
      <c r="E31" s="76" t="s">
        <v>233</v>
      </c>
      <c r="F31" s="94"/>
      <c r="G31" s="116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>
      <c r="A32" s="73">
        <v>27.0</v>
      </c>
      <c r="B32" s="91" t="s">
        <v>238</v>
      </c>
      <c r="C32" s="91" t="s">
        <v>129</v>
      </c>
      <c r="D32" s="94"/>
      <c r="E32" s="76" t="s">
        <v>242</v>
      </c>
      <c r="F32" s="94"/>
      <c r="G32" s="116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>
      <c r="A33" s="73">
        <v>28.0</v>
      </c>
      <c r="B33" s="91" t="s">
        <v>246</v>
      </c>
      <c r="C33" s="91" t="s">
        <v>247</v>
      </c>
      <c r="D33" s="134"/>
      <c r="E33" s="139">
        <v>46211.0</v>
      </c>
      <c r="F33" s="94"/>
      <c r="G33" s="116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>
      <c r="A34" s="73">
        <v>29.0</v>
      </c>
      <c r="B34" s="91" t="s">
        <v>252</v>
      </c>
      <c r="C34" s="91" t="s">
        <v>163</v>
      </c>
      <c r="D34" s="94"/>
      <c r="E34" s="139">
        <v>46335.0</v>
      </c>
      <c r="F34" s="94"/>
      <c r="G34" s="116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>
      <c r="A35" s="73">
        <v>30.0</v>
      </c>
      <c r="B35" s="91" t="s">
        <v>257</v>
      </c>
      <c r="C35" s="91" t="s">
        <v>46</v>
      </c>
      <c r="D35" s="94"/>
      <c r="E35" s="76" t="s">
        <v>259</v>
      </c>
      <c r="F35" s="94"/>
      <c r="G35" s="116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73">
        <v>31.0</v>
      </c>
      <c r="B36" s="91" t="s">
        <v>263</v>
      </c>
      <c r="C36" s="91" t="s">
        <v>247</v>
      </c>
      <c r="D36" s="94"/>
      <c r="E36" s="76" t="s">
        <v>259</v>
      </c>
      <c r="F36" s="94"/>
      <c r="G36" s="116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73">
        <v>32.0</v>
      </c>
      <c r="B37" s="91" t="s">
        <v>269</v>
      </c>
      <c r="C37" s="91" t="s">
        <v>163</v>
      </c>
      <c r="D37" s="94"/>
      <c r="E37" s="149">
        <v>46237.0</v>
      </c>
      <c r="F37" s="94"/>
      <c r="G37" s="116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30.0" customHeight="1">
      <c r="A38" s="73">
        <v>33.0</v>
      </c>
      <c r="B38" s="91" t="s">
        <v>277</v>
      </c>
      <c r="C38" s="91" t="s">
        <v>247</v>
      </c>
      <c r="D38" s="94"/>
      <c r="E38" s="149">
        <v>46233.0</v>
      </c>
      <c r="F38" s="94"/>
      <c r="G38" s="116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>
      <c r="A39" s="73">
        <v>34.0</v>
      </c>
      <c r="B39" s="91" t="s">
        <v>280</v>
      </c>
      <c r="C39" s="91" t="s">
        <v>46</v>
      </c>
      <c r="D39" s="91" t="s">
        <v>281</v>
      </c>
      <c r="E39" s="126"/>
      <c r="F39" s="94"/>
      <c r="G39" s="116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>
      <c r="A40" s="73">
        <v>35.0</v>
      </c>
      <c r="B40" s="91" t="s">
        <v>288</v>
      </c>
      <c r="C40" s="91" t="s">
        <v>155</v>
      </c>
      <c r="D40" s="94"/>
      <c r="E40" s="149">
        <v>46237.0</v>
      </c>
      <c r="F40" s="94"/>
      <c r="G40" s="116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>
      <c r="A41" s="73">
        <v>36.0</v>
      </c>
      <c r="B41" s="91" t="s">
        <v>293</v>
      </c>
      <c r="C41" s="91" t="s">
        <v>294</v>
      </c>
      <c r="D41" s="91" t="s">
        <v>281</v>
      </c>
      <c r="E41" s="126"/>
      <c r="F41" s="94"/>
      <c r="G41" s="116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>
      <c r="A42" s="73">
        <v>37.0</v>
      </c>
      <c r="B42" s="91" t="s">
        <v>297</v>
      </c>
      <c r="C42" s="91" t="s">
        <v>163</v>
      </c>
      <c r="D42" s="94"/>
      <c r="E42" s="76" t="s">
        <v>233</v>
      </c>
      <c r="F42" s="94"/>
      <c r="G42" s="116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>
      <c r="A43" s="73">
        <v>38.0</v>
      </c>
      <c r="B43" s="91" t="s">
        <v>300</v>
      </c>
      <c r="C43" s="91" t="s">
        <v>247</v>
      </c>
      <c r="D43" s="94"/>
      <c r="E43" s="76" t="s">
        <v>301</v>
      </c>
      <c r="F43" s="94"/>
      <c r="G43" s="116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>
      <c r="A44" s="73">
        <v>39.0</v>
      </c>
      <c r="B44" s="91" t="s">
        <v>280</v>
      </c>
      <c r="C44" s="91" t="s">
        <v>294</v>
      </c>
      <c r="D44" s="94"/>
      <c r="E44" s="139">
        <v>46851.0</v>
      </c>
      <c r="F44" s="94"/>
      <c r="G44" s="116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>
      <c r="A45" s="73">
        <v>40.0</v>
      </c>
      <c r="B45" s="91" t="s">
        <v>305</v>
      </c>
      <c r="C45" s="91" t="s">
        <v>163</v>
      </c>
      <c r="D45" s="94"/>
      <c r="E45" s="76" t="s">
        <v>307</v>
      </c>
      <c r="F45" s="94"/>
      <c r="G45" s="116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>
      <c r="A46" s="73">
        <v>41.0</v>
      </c>
      <c r="B46" s="91" t="s">
        <v>308</v>
      </c>
      <c r="C46" s="91" t="s">
        <v>163</v>
      </c>
      <c r="D46" s="94"/>
      <c r="E46" s="76" t="s">
        <v>307</v>
      </c>
      <c r="F46" s="94"/>
      <c r="G46" s="116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>
      <c r="A47" s="73">
        <v>42.0</v>
      </c>
      <c r="B47" s="91" t="s">
        <v>312</v>
      </c>
      <c r="C47" s="94"/>
      <c r="D47" s="94"/>
      <c r="E47" s="76" t="s">
        <v>313</v>
      </c>
      <c r="F47" s="94"/>
      <c r="G47" s="116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>
      <c r="A48" s="73">
        <v>43.0</v>
      </c>
      <c r="B48" s="91" t="s">
        <v>314</v>
      </c>
      <c r="C48" s="172"/>
      <c r="D48" s="91" t="s">
        <v>317</v>
      </c>
      <c r="E48" s="139">
        <v>46396.0</v>
      </c>
      <c r="F48" s="94"/>
      <c r="G48" s="116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>
      <c r="A49" s="73">
        <v>44.0</v>
      </c>
      <c r="B49" s="91" t="s">
        <v>319</v>
      </c>
      <c r="C49" s="172"/>
      <c r="D49" s="91" t="s">
        <v>320</v>
      </c>
      <c r="E49" s="126"/>
      <c r="F49" s="94"/>
      <c r="G49" s="116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>
      <c r="A50" s="73">
        <v>45.0</v>
      </c>
      <c r="B50" s="91" t="s">
        <v>323</v>
      </c>
      <c r="C50" s="94"/>
      <c r="D50" s="94"/>
      <c r="E50" s="76" t="s">
        <v>233</v>
      </c>
      <c r="F50" s="94"/>
      <c r="G50" s="116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>
      <c r="A51" s="73">
        <v>46.0</v>
      </c>
      <c r="B51" s="91" t="s">
        <v>327</v>
      </c>
      <c r="C51" s="94"/>
      <c r="D51" s="94"/>
      <c r="E51" s="76" t="s">
        <v>328</v>
      </c>
      <c r="F51" s="91"/>
      <c r="G51" s="116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>
      <c r="A52" s="73">
        <v>47.0</v>
      </c>
      <c r="B52" s="91" t="s">
        <v>330</v>
      </c>
      <c r="C52" s="91" t="s">
        <v>46</v>
      </c>
      <c r="D52" s="94"/>
      <c r="E52" s="139">
        <v>46150.0</v>
      </c>
      <c r="F52" s="94"/>
      <c r="G52" s="9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>
      <c r="A53" s="73">
        <v>48.0</v>
      </c>
      <c r="B53" s="91" t="s">
        <v>332</v>
      </c>
      <c r="C53" s="91" t="s">
        <v>333</v>
      </c>
      <c r="D53" s="94"/>
      <c r="E53" s="139">
        <v>46120.0</v>
      </c>
      <c r="F53" s="94"/>
      <c r="G53" s="9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>
      <c r="A54" s="73">
        <v>49.0</v>
      </c>
      <c r="B54" s="91" t="s">
        <v>336</v>
      </c>
      <c r="C54" s="91" t="s">
        <v>337</v>
      </c>
      <c r="D54" s="94"/>
      <c r="E54" s="139">
        <v>46120.0</v>
      </c>
      <c r="F54" s="94"/>
      <c r="G54" s="9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>
      <c r="A55" s="73">
        <v>50.0</v>
      </c>
      <c r="B55" s="91" t="s">
        <v>312</v>
      </c>
      <c r="C55" s="91" t="s">
        <v>341</v>
      </c>
      <c r="D55" s="94"/>
      <c r="E55" s="76" t="s">
        <v>313</v>
      </c>
      <c r="F55" s="94"/>
      <c r="G55" s="9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>
      <c r="A56" s="73">
        <v>51.0</v>
      </c>
      <c r="B56" s="91" t="s">
        <v>344</v>
      </c>
      <c r="C56" s="94"/>
      <c r="D56" s="94"/>
      <c r="E56" s="76" t="s">
        <v>132</v>
      </c>
      <c r="F56" s="94"/>
      <c r="G56" s="9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>
      <c r="A57" s="181">
        <v>52.0</v>
      </c>
      <c r="B57" s="55" t="s">
        <v>348</v>
      </c>
      <c r="C57" s="55" t="s">
        <v>349</v>
      </c>
      <c r="D57" s="55" t="s">
        <v>350</v>
      </c>
      <c r="E57" s="182">
        <v>46031.0</v>
      </c>
      <c r="F57" s="59"/>
      <c r="G57" s="59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>
      <c r="A58" s="181">
        <v>53.0</v>
      </c>
      <c r="B58" s="55" t="s">
        <v>354</v>
      </c>
      <c r="C58" s="55" t="s">
        <v>355</v>
      </c>
      <c r="D58" s="59"/>
      <c r="E58" s="182">
        <v>46031.0</v>
      </c>
      <c r="F58" s="59"/>
      <c r="G58" s="59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>
      <c r="A59" s="181">
        <v>54.0</v>
      </c>
      <c r="B59" s="55" t="s">
        <v>358</v>
      </c>
      <c r="C59" s="59"/>
      <c r="D59" s="186">
        <v>46211.0</v>
      </c>
      <c r="E59" s="52" t="s">
        <v>359</v>
      </c>
      <c r="F59" s="59"/>
      <c r="G59" s="59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>
      <c r="A60" s="181">
        <v>55.0</v>
      </c>
      <c r="B60" s="187" t="s">
        <v>364</v>
      </c>
      <c r="C60" s="55" t="s">
        <v>365</v>
      </c>
      <c r="D60" s="59"/>
      <c r="E60" s="188">
        <v>46546.0</v>
      </c>
      <c r="F60" s="59"/>
      <c r="G60" s="59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>
      <c r="A61" s="181">
        <v>56.0</v>
      </c>
      <c r="B61" s="189" t="s">
        <v>370</v>
      </c>
      <c r="C61" s="55" t="s">
        <v>163</v>
      </c>
      <c r="D61" s="59"/>
      <c r="E61" s="52" t="s">
        <v>373</v>
      </c>
      <c r="F61" s="59"/>
      <c r="G61" s="59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>
      <c r="A62" s="24"/>
      <c r="B62" s="24"/>
      <c r="C62" s="24"/>
      <c r="D62" s="24"/>
      <c r="E62" s="190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>
      <c r="A63" s="24"/>
      <c r="B63" s="24"/>
      <c r="C63" s="24"/>
      <c r="D63" s="24"/>
      <c r="E63" s="190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>
      <c r="A64" s="24"/>
      <c r="B64" s="24"/>
      <c r="C64" s="24"/>
      <c r="D64" s="24"/>
      <c r="E64" s="190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>
      <c r="A65" s="24"/>
      <c r="B65" s="24"/>
      <c r="C65" s="24"/>
      <c r="D65" s="24"/>
      <c r="E65" s="190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>
      <c r="A66" s="24"/>
      <c r="B66" s="24"/>
      <c r="C66" s="24"/>
      <c r="D66" s="24"/>
      <c r="E66" s="190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>
      <c r="A67" s="24"/>
      <c r="B67" s="24"/>
      <c r="C67" s="24"/>
      <c r="D67" s="24"/>
      <c r="E67" s="190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>
      <c r="A68" s="24"/>
      <c r="B68" s="24"/>
      <c r="C68" s="24"/>
      <c r="D68" s="24"/>
      <c r="E68" s="190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>
      <c r="A69" s="24"/>
      <c r="B69" s="24"/>
      <c r="C69" s="24"/>
      <c r="D69" s="24"/>
      <c r="E69" s="190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>
      <c r="A70" s="24"/>
      <c r="B70" s="24"/>
      <c r="C70" s="24"/>
      <c r="D70" s="24"/>
      <c r="E70" s="190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>
      <c r="A71" s="24"/>
      <c r="B71" s="24"/>
      <c r="C71" s="24"/>
      <c r="D71" s="24"/>
      <c r="E71" s="190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>
      <c r="A72" s="24"/>
      <c r="B72" s="24"/>
      <c r="C72" s="24"/>
      <c r="D72" s="24"/>
      <c r="E72" s="190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>
      <c r="A73" s="24"/>
      <c r="B73" s="24"/>
      <c r="C73" s="24"/>
      <c r="D73" s="24"/>
      <c r="E73" s="190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>
      <c r="A74" s="24"/>
      <c r="B74" s="24"/>
      <c r="C74" s="24"/>
      <c r="D74" s="24"/>
      <c r="E74" s="190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>
      <c r="A75" s="24"/>
      <c r="B75" s="24"/>
      <c r="C75" s="24"/>
      <c r="D75" s="24"/>
      <c r="E75" s="190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>
      <c r="A76" s="24"/>
      <c r="B76" s="24"/>
      <c r="C76" s="24"/>
      <c r="D76" s="24"/>
      <c r="E76" s="190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>
      <c r="A77" s="24"/>
      <c r="B77" s="24"/>
      <c r="C77" s="24"/>
      <c r="D77" s="24"/>
      <c r="E77" s="190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>
      <c r="A78" s="24"/>
      <c r="B78" s="24"/>
      <c r="C78" s="24"/>
      <c r="D78" s="24"/>
      <c r="E78" s="190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>
      <c r="A79" s="24"/>
      <c r="B79" s="24"/>
      <c r="C79" s="24"/>
      <c r="D79" s="24"/>
      <c r="E79" s="190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>
      <c r="A80" s="24"/>
      <c r="B80" s="24"/>
      <c r="C80" s="24"/>
      <c r="D80" s="24"/>
      <c r="E80" s="190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>
      <c r="A81" s="24"/>
      <c r="B81" s="24"/>
      <c r="C81" s="24"/>
      <c r="D81" s="24"/>
      <c r="E81" s="190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>
      <c r="A82" s="24"/>
      <c r="B82" s="24"/>
      <c r="C82" s="24"/>
      <c r="D82" s="24"/>
      <c r="E82" s="190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>
      <c r="A83" s="24"/>
      <c r="B83" s="24"/>
      <c r="C83" s="24"/>
      <c r="D83" s="24"/>
      <c r="E83" s="190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>
      <c r="A84" s="24"/>
      <c r="B84" s="24"/>
      <c r="C84" s="24"/>
      <c r="D84" s="24"/>
      <c r="E84" s="190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>
      <c r="A85" s="24"/>
      <c r="B85" s="24"/>
      <c r="C85" s="24"/>
      <c r="D85" s="24"/>
      <c r="E85" s="190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>
      <c r="A86" s="24"/>
      <c r="B86" s="24"/>
      <c r="C86" s="24"/>
      <c r="D86" s="24"/>
      <c r="E86" s="190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>
      <c r="A87" s="24"/>
      <c r="B87" s="24"/>
      <c r="C87" s="24"/>
      <c r="D87" s="24"/>
      <c r="E87" s="190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>
      <c r="A88" s="24"/>
      <c r="B88" s="24"/>
      <c r="C88" s="24"/>
      <c r="D88" s="24"/>
      <c r="E88" s="190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>
      <c r="A89" s="24"/>
      <c r="B89" s="24"/>
      <c r="C89" s="24"/>
      <c r="D89" s="24"/>
      <c r="E89" s="190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>
      <c r="A90" s="24"/>
      <c r="B90" s="24"/>
      <c r="C90" s="24"/>
      <c r="D90" s="24"/>
      <c r="E90" s="190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>
      <c r="A91" s="24"/>
      <c r="B91" s="24"/>
      <c r="C91" s="24"/>
      <c r="D91" s="24"/>
      <c r="E91" s="190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>
      <c r="A92" s="24"/>
      <c r="B92" s="24"/>
      <c r="C92" s="24"/>
      <c r="D92" s="24"/>
      <c r="E92" s="190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>
      <c r="A93" s="24"/>
      <c r="B93" s="24"/>
      <c r="C93" s="24"/>
      <c r="D93" s="24"/>
      <c r="E93" s="190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>
      <c r="A94" s="24"/>
      <c r="B94" s="24"/>
      <c r="C94" s="24"/>
      <c r="D94" s="24"/>
      <c r="E94" s="190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>
      <c r="A95" s="24"/>
      <c r="B95" s="24"/>
      <c r="C95" s="24"/>
      <c r="D95" s="24"/>
      <c r="E95" s="190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>
      <c r="A96" s="24"/>
      <c r="B96" s="24"/>
      <c r="C96" s="24"/>
      <c r="D96" s="24"/>
      <c r="E96" s="190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>
      <c r="A97" s="24"/>
      <c r="B97" s="24"/>
      <c r="C97" s="24"/>
      <c r="D97" s="24"/>
      <c r="E97" s="190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>
      <c r="A98" s="24"/>
      <c r="B98" s="24"/>
      <c r="C98" s="24"/>
      <c r="D98" s="24"/>
      <c r="E98" s="190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>
      <c r="A99" s="24"/>
      <c r="B99" s="24"/>
      <c r="C99" s="24"/>
      <c r="D99" s="24"/>
      <c r="E99" s="190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>
      <c r="A100" s="24"/>
      <c r="B100" s="24"/>
      <c r="C100" s="24"/>
      <c r="D100" s="24"/>
      <c r="E100" s="190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>
      <c r="A101" s="24"/>
      <c r="B101" s="24"/>
      <c r="C101" s="24"/>
      <c r="D101" s="24"/>
      <c r="E101" s="190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>
      <c r="A102" s="24"/>
      <c r="B102" s="24"/>
      <c r="C102" s="24"/>
      <c r="D102" s="24"/>
      <c r="E102" s="190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>
      <c r="A103" s="24"/>
      <c r="B103" s="24"/>
      <c r="C103" s="24"/>
      <c r="D103" s="24"/>
      <c r="E103" s="190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>
      <c r="A104" s="24"/>
      <c r="B104" s="24"/>
      <c r="C104" s="24"/>
      <c r="D104" s="24"/>
      <c r="E104" s="190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>
      <c r="A105" s="24"/>
      <c r="B105" s="24"/>
      <c r="C105" s="24"/>
      <c r="D105" s="24"/>
      <c r="E105" s="190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>
      <c r="A106" s="24"/>
      <c r="B106" s="24"/>
      <c r="C106" s="24"/>
      <c r="D106" s="24"/>
      <c r="E106" s="190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>
      <c r="A107" s="24"/>
      <c r="B107" s="24"/>
      <c r="C107" s="24"/>
      <c r="D107" s="24"/>
      <c r="E107" s="190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>
      <c r="A108" s="24"/>
      <c r="B108" s="24"/>
      <c r="C108" s="24"/>
      <c r="D108" s="24"/>
      <c r="E108" s="190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>
      <c r="A109" s="24"/>
      <c r="B109" s="24"/>
      <c r="C109" s="24"/>
      <c r="D109" s="24"/>
      <c r="E109" s="190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>
      <c r="A110" s="24"/>
      <c r="B110" s="24"/>
      <c r="C110" s="24"/>
      <c r="D110" s="24"/>
      <c r="E110" s="190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>
      <c r="A111" s="24"/>
      <c r="B111" s="24"/>
      <c r="C111" s="24"/>
      <c r="D111" s="24"/>
      <c r="E111" s="190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>
      <c r="A112" s="24"/>
      <c r="B112" s="24"/>
      <c r="C112" s="24"/>
      <c r="D112" s="24"/>
      <c r="E112" s="190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>
      <c r="A113" s="24"/>
      <c r="B113" s="24"/>
      <c r="C113" s="24"/>
      <c r="D113" s="24"/>
      <c r="E113" s="190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>
      <c r="A114" s="24"/>
      <c r="B114" s="24"/>
      <c r="C114" s="24"/>
      <c r="D114" s="24"/>
      <c r="E114" s="190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>
      <c r="A115" s="24"/>
      <c r="B115" s="24"/>
      <c r="C115" s="24"/>
      <c r="D115" s="24"/>
      <c r="E115" s="190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>
      <c r="A116" s="24"/>
      <c r="B116" s="24"/>
      <c r="C116" s="24"/>
      <c r="D116" s="24"/>
      <c r="E116" s="190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>
      <c r="A117" s="24"/>
      <c r="B117" s="24"/>
      <c r="C117" s="24"/>
      <c r="D117" s="24"/>
      <c r="E117" s="190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>
      <c r="A118" s="24"/>
      <c r="B118" s="24"/>
      <c r="C118" s="24"/>
      <c r="D118" s="24"/>
      <c r="E118" s="190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>
      <c r="A119" s="24"/>
      <c r="B119" s="24"/>
      <c r="C119" s="24"/>
      <c r="D119" s="24"/>
      <c r="E119" s="190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>
      <c r="A120" s="24"/>
      <c r="B120" s="24"/>
      <c r="C120" s="24"/>
      <c r="D120" s="24"/>
      <c r="E120" s="190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>
      <c r="A121" s="24"/>
      <c r="B121" s="24"/>
      <c r="C121" s="24"/>
      <c r="D121" s="24"/>
      <c r="E121" s="190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>
      <c r="A122" s="24"/>
      <c r="B122" s="24"/>
      <c r="C122" s="24"/>
      <c r="D122" s="24"/>
      <c r="E122" s="190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>
      <c r="A123" s="24"/>
      <c r="B123" s="24"/>
      <c r="C123" s="24"/>
      <c r="D123" s="24"/>
      <c r="E123" s="190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>
      <c r="A124" s="24"/>
      <c r="B124" s="24"/>
      <c r="C124" s="24"/>
      <c r="D124" s="24"/>
      <c r="E124" s="190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>
      <c r="A125" s="24"/>
      <c r="B125" s="24"/>
      <c r="C125" s="24"/>
      <c r="D125" s="24"/>
      <c r="E125" s="190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>
      <c r="A126" s="24"/>
      <c r="B126" s="24"/>
      <c r="C126" s="24"/>
      <c r="D126" s="24"/>
      <c r="E126" s="190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>
      <c r="A127" s="24"/>
      <c r="B127" s="24"/>
      <c r="C127" s="24"/>
      <c r="D127" s="24"/>
      <c r="E127" s="190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>
      <c r="A128" s="24"/>
      <c r="B128" s="24"/>
      <c r="C128" s="24"/>
      <c r="D128" s="24"/>
      <c r="E128" s="190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>
      <c r="A129" s="24"/>
      <c r="B129" s="24"/>
      <c r="C129" s="24"/>
      <c r="D129" s="24"/>
      <c r="E129" s="190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>
      <c r="A130" s="24"/>
      <c r="B130" s="24"/>
      <c r="C130" s="24"/>
      <c r="D130" s="24"/>
      <c r="E130" s="190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>
      <c r="A131" s="24"/>
      <c r="B131" s="24"/>
      <c r="C131" s="24"/>
      <c r="D131" s="24"/>
      <c r="E131" s="190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>
      <c r="A132" s="24"/>
      <c r="B132" s="24"/>
      <c r="C132" s="24"/>
      <c r="D132" s="24"/>
      <c r="E132" s="190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>
      <c r="A133" s="24"/>
      <c r="B133" s="24"/>
      <c r="C133" s="24"/>
      <c r="D133" s="24"/>
      <c r="E133" s="190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>
      <c r="A134" s="24"/>
      <c r="B134" s="24"/>
      <c r="C134" s="24"/>
      <c r="D134" s="24"/>
      <c r="E134" s="190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>
      <c r="A135" s="24"/>
      <c r="B135" s="24"/>
      <c r="C135" s="24"/>
      <c r="D135" s="24"/>
      <c r="E135" s="190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>
      <c r="A136" s="24"/>
      <c r="B136" s="24"/>
      <c r="C136" s="24"/>
      <c r="D136" s="24"/>
      <c r="E136" s="190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>
      <c r="A137" s="24"/>
      <c r="B137" s="24"/>
      <c r="C137" s="24"/>
      <c r="D137" s="24"/>
      <c r="E137" s="190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>
      <c r="A138" s="24"/>
      <c r="B138" s="24"/>
      <c r="C138" s="24"/>
      <c r="D138" s="24"/>
      <c r="E138" s="190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>
      <c r="A139" s="24"/>
      <c r="B139" s="24"/>
      <c r="C139" s="24"/>
      <c r="D139" s="24"/>
      <c r="E139" s="190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>
      <c r="A140" s="24"/>
      <c r="B140" s="24"/>
      <c r="C140" s="24"/>
      <c r="D140" s="24"/>
      <c r="E140" s="190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>
      <c r="A141" s="24"/>
      <c r="B141" s="24"/>
      <c r="C141" s="24"/>
      <c r="D141" s="24"/>
      <c r="E141" s="190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>
      <c r="A142" s="24"/>
      <c r="B142" s="24"/>
      <c r="C142" s="24"/>
      <c r="D142" s="24"/>
      <c r="E142" s="190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>
      <c r="A143" s="24"/>
      <c r="B143" s="24"/>
      <c r="C143" s="24"/>
      <c r="D143" s="24"/>
      <c r="E143" s="190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>
      <c r="A144" s="24"/>
      <c r="B144" s="24"/>
      <c r="C144" s="24"/>
      <c r="D144" s="24"/>
      <c r="E144" s="190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>
      <c r="A145" s="24"/>
      <c r="B145" s="24"/>
      <c r="C145" s="24"/>
      <c r="D145" s="24"/>
      <c r="E145" s="190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>
      <c r="A146" s="24"/>
      <c r="B146" s="24"/>
      <c r="C146" s="24"/>
      <c r="D146" s="24"/>
      <c r="E146" s="190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>
      <c r="A147" s="24"/>
      <c r="B147" s="24"/>
      <c r="C147" s="24"/>
      <c r="D147" s="24"/>
      <c r="E147" s="190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>
      <c r="A148" s="24"/>
      <c r="B148" s="24"/>
      <c r="C148" s="24"/>
      <c r="D148" s="24"/>
      <c r="E148" s="190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>
      <c r="A149" s="24"/>
      <c r="B149" s="24"/>
      <c r="C149" s="24"/>
      <c r="D149" s="24"/>
      <c r="E149" s="190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>
      <c r="A150" s="24"/>
      <c r="B150" s="24"/>
      <c r="C150" s="24"/>
      <c r="D150" s="24"/>
      <c r="E150" s="190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>
      <c r="A151" s="24"/>
      <c r="B151" s="24"/>
      <c r="C151" s="24"/>
      <c r="D151" s="24"/>
      <c r="E151" s="190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>
      <c r="A152" s="24"/>
      <c r="B152" s="24"/>
      <c r="C152" s="24"/>
      <c r="D152" s="24"/>
      <c r="E152" s="190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>
      <c r="A153" s="24"/>
      <c r="B153" s="24"/>
      <c r="C153" s="24"/>
      <c r="D153" s="24"/>
      <c r="E153" s="190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>
      <c r="A154" s="24"/>
      <c r="B154" s="24"/>
      <c r="C154" s="24"/>
      <c r="D154" s="24"/>
      <c r="E154" s="190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>
      <c r="A155" s="24"/>
      <c r="B155" s="24"/>
      <c r="C155" s="24"/>
      <c r="D155" s="24"/>
      <c r="E155" s="190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>
      <c r="A156" s="24"/>
      <c r="B156" s="24"/>
      <c r="C156" s="24"/>
      <c r="D156" s="24"/>
      <c r="E156" s="190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>
      <c r="A157" s="24"/>
      <c r="B157" s="24"/>
      <c r="C157" s="24"/>
      <c r="D157" s="24"/>
      <c r="E157" s="190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>
      <c r="A158" s="24"/>
      <c r="B158" s="24"/>
      <c r="C158" s="24"/>
      <c r="D158" s="24"/>
      <c r="E158" s="190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>
      <c r="A159" s="24"/>
      <c r="B159" s="24"/>
      <c r="C159" s="24"/>
      <c r="D159" s="24"/>
      <c r="E159" s="190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>
      <c r="A160" s="24"/>
      <c r="B160" s="24"/>
      <c r="C160" s="24"/>
      <c r="D160" s="24"/>
      <c r="E160" s="190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>
      <c r="A161" s="24"/>
      <c r="B161" s="24"/>
      <c r="C161" s="24"/>
      <c r="D161" s="24"/>
      <c r="E161" s="190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>
      <c r="A162" s="24"/>
      <c r="B162" s="24"/>
      <c r="C162" s="24"/>
      <c r="D162" s="24"/>
      <c r="E162" s="190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>
      <c r="A163" s="24"/>
      <c r="B163" s="24"/>
      <c r="C163" s="24"/>
      <c r="D163" s="24"/>
      <c r="E163" s="190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>
      <c r="A164" s="24"/>
      <c r="B164" s="24"/>
      <c r="C164" s="24"/>
      <c r="D164" s="24"/>
      <c r="E164" s="190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>
      <c r="A165" s="24"/>
      <c r="B165" s="24"/>
      <c r="C165" s="24"/>
      <c r="D165" s="24"/>
      <c r="E165" s="190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>
      <c r="A166" s="24"/>
      <c r="B166" s="24"/>
      <c r="C166" s="24"/>
      <c r="D166" s="24"/>
      <c r="E166" s="190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>
      <c r="A167" s="24"/>
      <c r="B167" s="24"/>
      <c r="C167" s="24"/>
      <c r="D167" s="24"/>
      <c r="E167" s="190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>
      <c r="A168" s="24"/>
      <c r="B168" s="24"/>
      <c r="C168" s="24"/>
      <c r="D168" s="24"/>
      <c r="E168" s="190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>
      <c r="A169" s="24"/>
      <c r="B169" s="24"/>
      <c r="C169" s="24"/>
      <c r="D169" s="24"/>
      <c r="E169" s="190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>
      <c r="A170" s="24"/>
      <c r="B170" s="24"/>
      <c r="C170" s="24"/>
      <c r="D170" s="24"/>
      <c r="E170" s="190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>
      <c r="A171" s="24"/>
      <c r="B171" s="24"/>
      <c r="C171" s="24"/>
      <c r="D171" s="24"/>
      <c r="E171" s="190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>
      <c r="A172" s="24"/>
      <c r="B172" s="24"/>
      <c r="C172" s="24"/>
      <c r="D172" s="24"/>
      <c r="E172" s="190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>
      <c r="A173" s="24"/>
      <c r="B173" s="24"/>
      <c r="C173" s="24"/>
      <c r="D173" s="24"/>
      <c r="E173" s="190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>
      <c r="A174" s="24"/>
      <c r="B174" s="24"/>
      <c r="C174" s="24"/>
      <c r="D174" s="24"/>
      <c r="E174" s="190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>
      <c r="A175" s="24"/>
      <c r="B175" s="24"/>
      <c r="C175" s="24"/>
      <c r="D175" s="24"/>
      <c r="E175" s="190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>
      <c r="A176" s="24"/>
      <c r="B176" s="24"/>
      <c r="C176" s="24"/>
      <c r="D176" s="24"/>
      <c r="E176" s="190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>
      <c r="A177" s="24"/>
      <c r="B177" s="24"/>
      <c r="C177" s="24"/>
      <c r="D177" s="24"/>
      <c r="E177" s="190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>
      <c r="A178" s="24"/>
      <c r="B178" s="24"/>
      <c r="C178" s="24"/>
      <c r="D178" s="24"/>
      <c r="E178" s="190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>
      <c r="A179" s="24"/>
      <c r="B179" s="24"/>
      <c r="C179" s="24"/>
      <c r="D179" s="24"/>
      <c r="E179" s="190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>
      <c r="A180" s="24"/>
      <c r="B180" s="24"/>
      <c r="C180" s="24"/>
      <c r="D180" s="24"/>
      <c r="E180" s="190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>
      <c r="A181" s="24"/>
      <c r="B181" s="24"/>
      <c r="C181" s="24"/>
      <c r="D181" s="24"/>
      <c r="E181" s="190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>
      <c r="A182" s="24"/>
      <c r="B182" s="24"/>
      <c r="C182" s="24"/>
      <c r="D182" s="24"/>
      <c r="E182" s="190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>
      <c r="A183" s="24"/>
      <c r="B183" s="24"/>
      <c r="C183" s="24"/>
      <c r="D183" s="24"/>
      <c r="E183" s="190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>
      <c r="A184" s="24"/>
      <c r="B184" s="24"/>
      <c r="C184" s="24"/>
      <c r="D184" s="24"/>
      <c r="E184" s="190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>
      <c r="A185" s="24"/>
      <c r="B185" s="24"/>
      <c r="C185" s="24"/>
      <c r="D185" s="24"/>
      <c r="E185" s="190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>
      <c r="A186" s="24"/>
      <c r="B186" s="24"/>
      <c r="C186" s="24"/>
      <c r="D186" s="24"/>
      <c r="E186" s="190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>
      <c r="A187" s="24"/>
      <c r="B187" s="24"/>
      <c r="C187" s="24"/>
      <c r="D187" s="24"/>
      <c r="E187" s="190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>
      <c r="A188" s="24"/>
      <c r="B188" s="24"/>
      <c r="C188" s="24"/>
      <c r="D188" s="24"/>
      <c r="E188" s="190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>
      <c r="A189" s="24"/>
      <c r="B189" s="24"/>
      <c r="C189" s="24"/>
      <c r="D189" s="24"/>
      <c r="E189" s="190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>
      <c r="A190" s="24"/>
      <c r="B190" s="24"/>
      <c r="C190" s="24"/>
      <c r="D190" s="24"/>
      <c r="E190" s="190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>
      <c r="A191" s="24"/>
      <c r="B191" s="24"/>
      <c r="C191" s="24"/>
      <c r="D191" s="24"/>
      <c r="E191" s="190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>
      <c r="A192" s="24"/>
      <c r="B192" s="24"/>
      <c r="C192" s="24"/>
      <c r="D192" s="24"/>
      <c r="E192" s="190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>
      <c r="A193" s="24"/>
      <c r="B193" s="24"/>
      <c r="C193" s="24"/>
      <c r="D193" s="24"/>
      <c r="E193" s="190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>
      <c r="A194" s="24"/>
      <c r="B194" s="24"/>
      <c r="C194" s="24"/>
      <c r="D194" s="24"/>
      <c r="E194" s="190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>
      <c r="A195" s="24"/>
      <c r="B195" s="24"/>
      <c r="C195" s="24"/>
      <c r="D195" s="24"/>
      <c r="E195" s="190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>
      <c r="A196" s="24"/>
      <c r="B196" s="24"/>
      <c r="C196" s="24"/>
      <c r="D196" s="24"/>
      <c r="E196" s="190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>
      <c r="A197" s="24"/>
      <c r="B197" s="24"/>
      <c r="C197" s="24"/>
      <c r="D197" s="24"/>
      <c r="E197" s="190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>
      <c r="A198" s="24"/>
      <c r="B198" s="24"/>
      <c r="C198" s="24"/>
      <c r="D198" s="24"/>
      <c r="E198" s="190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>
      <c r="A199" s="24"/>
      <c r="B199" s="24"/>
      <c r="C199" s="24"/>
      <c r="D199" s="24"/>
      <c r="E199" s="190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>
      <c r="A200" s="24"/>
      <c r="B200" s="24"/>
      <c r="C200" s="24"/>
      <c r="D200" s="24"/>
      <c r="E200" s="190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>
      <c r="A201" s="24"/>
      <c r="B201" s="24"/>
      <c r="C201" s="24"/>
      <c r="D201" s="24"/>
      <c r="E201" s="190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>
      <c r="A202" s="24"/>
      <c r="B202" s="24"/>
      <c r="C202" s="24"/>
      <c r="D202" s="24"/>
      <c r="E202" s="190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>
      <c r="A203" s="24"/>
      <c r="B203" s="24"/>
      <c r="C203" s="24"/>
      <c r="D203" s="24"/>
      <c r="E203" s="190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>
      <c r="A204" s="24"/>
      <c r="B204" s="24"/>
      <c r="C204" s="24"/>
      <c r="D204" s="24"/>
      <c r="E204" s="190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>
      <c r="A205" s="24"/>
      <c r="B205" s="24"/>
      <c r="C205" s="24"/>
      <c r="D205" s="24"/>
      <c r="E205" s="190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>
      <c r="A206" s="24"/>
      <c r="B206" s="24"/>
      <c r="C206" s="24"/>
      <c r="D206" s="24"/>
      <c r="E206" s="190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>
      <c r="A207" s="24"/>
      <c r="B207" s="24"/>
      <c r="C207" s="24"/>
      <c r="D207" s="24"/>
      <c r="E207" s="190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>
      <c r="A208" s="24"/>
      <c r="B208" s="24"/>
      <c r="C208" s="24"/>
      <c r="D208" s="24"/>
      <c r="E208" s="190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>
      <c r="A209" s="24"/>
      <c r="B209" s="24"/>
      <c r="C209" s="24"/>
      <c r="D209" s="24"/>
      <c r="E209" s="190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>
      <c r="A210" s="24"/>
      <c r="B210" s="24"/>
      <c r="C210" s="24"/>
      <c r="D210" s="24"/>
      <c r="E210" s="190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>
      <c r="A211" s="24"/>
      <c r="B211" s="24"/>
      <c r="C211" s="24"/>
      <c r="D211" s="24"/>
      <c r="E211" s="190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>
      <c r="A212" s="24"/>
      <c r="B212" s="24"/>
      <c r="C212" s="24"/>
      <c r="D212" s="24"/>
      <c r="E212" s="190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>
      <c r="A213" s="24"/>
      <c r="B213" s="24"/>
      <c r="C213" s="24"/>
      <c r="D213" s="24"/>
      <c r="E213" s="190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>
      <c r="A214" s="24"/>
      <c r="B214" s="24"/>
      <c r="C214" s="24"/>
      <c r="D214" s="24"/>
      <c r="E214" s="190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>
      <c r="A215" s="24"/>
      <c r="B215" s="24"/>
      <c r="C215" s="24"/>
      <c r="D215" s="24"/>
      <c r="E215" s="190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>
      <c r="A216" s="24"/>
      <c r="B216" s="24"/>
      <c r="C216" s="24"/>
      <c r="D216" s="24"/>
      <c r="E216" s="190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>
      <c r="A217" s="24"/>
      <c r="B217" s="24"/>
      <c r="C217" s="24"/>
      <c r="D217" s="24"/>
      <c r="E217" s="190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>
      <c r="A218" s="24"/>
      <c r="B218" s="24"/>
      <c r="C218" s="24"/>
      <c r="D218" s="24"/>
      <c r="E218" s="190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>
      <c r="A219" s="24"/>
      <c r="B219" s="24"/>
      <c r="C219" s="24"/>
      <c r="D219" s="24"/>
      <c r="E219" s="190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>
      <c r="A220" s="24"/>
      <c r="B220" s="24"/>
      <c r="C220" s="24"/>
      <c r="D220" s="24"/>
      <c r="E220" s="190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>
      <c r="A221" s="24"/>
      <c r="B221" s="24"/>
      <c r="C221" s="24"/>
      <c r="D221" s="24"/>
      <c r="E221" s="190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>
      <c r="A222" s="24"/>
      <c r="B222" s="24"/>
      <c r="C222" s="24"/>
      <c r="D222" s="24"/>
      <c r="E222" s="190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>
      <c r="A223" s="24"/>
      <c r="B223" s="24"/>
      <c r="C223" s="24"/>
      <c r="D223" s="24"/>
      <c r="E223" s="190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>
      <c r="A224" s="24"/>
      <c r="B224" s="24"/>
      <c r="C224" s="24"/>
      <c r="D224" s="24"/>
      <c r="E224" s="190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>
      <c r="A225" s="24"/>
      <c r="B225" s="24"/>
      <c r="C225" s="24"/>
      <c r="D225" s="24"/>
      <c r="E225" s="190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>
      <c r="A226" s="24"/>
      <c r="B226" s="24"/>
      <c r="C226" s="24"/>
      <c r="D226" s="24"/>
      <c r="E226" s="190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>
      <c r="A227" s="24"/>
      <c r="B227" s="24"/>
      <c r="C227" s="24"/>
      <c r="D227" s="24"/>
      <c r="E227" s="190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>
      <c r="A228" s="24"/>
      <c r="B228" s="24"/>
      <c r="C228" s="24"/>
      <c r="D228" s="24"/>
      <c r="E228" s="190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>
      <c r="A229" s="24"/>
      <c r="B229" s="24"/>
      <c r="C229" s="24"/>
      <c r="D229" s="24"/>
      <c r="E229" s="190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>
      <c r="A230" s="24"/>
      <c r="B230" s="24"/>
      <c r="C230" s="24"/>
      <c r="D230" s="24"/>
      <c r="E230" s="190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>
      <c r="A231" s="24"/>
      <c r="B231" s="24"/>
      <c r="C231" s="24"/>
      <c r="D231" s="24"/>
      <c r="E231" s="190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>
      <c r="A232" s="24"/>
      <c r="B232" s="24"/>
      <c r="C232" s="24"/>
      <c r="D232" s="24"/>
      <c r="E232" s="190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>
      <c r="A233" s="24"/>
      <c r="B233" s="24"/>
      <c r="C233" s="24"/>
      <c r="D233" s="24"/>
      <c r="E233" s="190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>
      <c r="A234" s="24"/>
      <c r="B234" s="24"/>
      <c r="C234" s="24"/>
      <c r="D234" s="24"/>
      <c r="E234" s="190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>
      <c r="A235" s="24"/>
      <c r="B235" s="24"/>
      <c r="C235" s="24"/>
      <c r="D235" s="24"/>
      <c r="E235" s="190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>
      <c r="A236" s="24"/>
      <c r="B236" s="24"/>
      <c r="C236" s="24"/>
      <c r="D236" s="24"/>
      <c r="E236" s="190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>
      <c r="A237" s="24"/>
      <c r="B237" s="24"/>
      <c r="C237" s="24"/>
      <c r="D237" s="24"/>
      <c r="E237" s="190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>
      <c r="A238" s="24"/>
      <c r="B238" s="24"/>
      <c r="C238" s="24"/>
      <c r="D238" s="24"/>
      <c r="E238" s="190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>
      <c r="A239" s="24"/>
      <c r="B239" s="24"/>
      <c r="C239" s="24"/>
      <c r="D239" s="24"/>
      <c r="E239" s="190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>
      <c r="A240" s="24"/>
      <c r="B240" s="24"/>
      <c r="C240" s="24"/>
      <c r="D240" s="24"/>
      <c r="E240" s="190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>
      <c r="A241" s="24"/>
      <c r="B241" s="24"/>
      <c r="C241" s="24"/>
      <c r="D241" s="24"/>
      <c r="E241" s="190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>
      <c r="A242" s="24"/>
      <c r="B242" s="24"/>
      <c r="C242" s="24"/>
      <c r="D242" s="24"/>
      <c r="E242" s="190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>
      <c r="A243" s="24"/>
      <c r="B243" s="24"/>
      <c r="C243" s="24"/>
      <c r="D243" s="24"/>
      <c r="E243" s="190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>
      <c r="A244" s="24"/>
      <c r="B244" s="24"/>
      <c r="C244" s="24"/>
      <c r="D244" s="24"/>
      <c r="E244" s="190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>
      <c r="A245" s="24"/>
      <c r="B245" s="24"/>
      <c r="C245" s="24"/>
      <c r="D245" s="24"/>
      <c r="E245" s="190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>
      <c r="A246" s="24"/>
      <c r="B246" s="24"/>
      <c r="C246" s="24"/>
      <c r="D246" s="24"/>
      <c r="E246" s="190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>
      <c r="A247" s="24"/>
      <c r="B247" s="24"/>
      <c r="C247" s="24"/>
      <c r="D247" s="24"/>
      <c r="E247" s="190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>
      <c r="A248" s="24"/>
      <c r="B248" s="24"/>
      <c r="C248" s="24"/>
      <c r="D248" s="24"/>
      <c r="E248" s="190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>
      <c r="A249" s="24"/>
      <c r="B249" s="24"/>
      <c r="C249" s="24"/>
      <c r="D249" s="24"/>
      <c r="E249" s="190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>
      <c r="A250" s="24"/>
      <c r="B250" s="24"/>
      <c r="C250" s="24"/>
      <c r="D250" s="24"/>
      <c r="E250" s="190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>
      <c r="A251" s="24"/>
      <c r="B251" s="24"/>
      <c r="C251" s="24"/>
      <c r="D251" s="24"/>
      <c r="E251" s="190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>
      <c r="A252" s="24"/>
      <c r="B252" s="24"/>
      <c r="C252" s="24"/>
      <c r="D252" s="24"/>
      <c r="E252" s="190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>
      <c r="A253" s="24"/>
      <c r="B253" s="24"/>
      <c r="C253" s="24"/>
      <c r="D253" s="24"/>
      <c r="E253" s="190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>
      <c r="A254" s="24"/>
      <c r="B254" s="24"/>
      <c r="C254" s="24"/>
      <c r="D254" s="24"/>
      <c r="E254" s="190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>
      <c r="A255" s="24"/>
      <c r="B255" s="24"/>
      <c r="C255" s="24"/>
      <c r="D255" s="24"/>
      <c r="E255" s="190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>
      <c r="A256" s="24"/>
      <c r="B256" s="24"/>
      <c r="C256" s="24"/>
      <c r="D256" s="24"/>
      <c r="E256" s="190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>
      <c r="A257" s="24"/>
      <c r="B257" s="24"/>
      <c r="C257" s="24"/>
      <c r="D257" s="24"/>
      <c r="E257" s="190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>
      <c r="A258" s="24"/>
      <c r="B258" s="24"/>
      <c r="C258" s="24"/>
      <c r="D258" s="24"/>
      <c r="E258" s="190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>
      <c r="A259" s="24"/>
      <c r="B259" s="24"/>
      <c r="C259" s="24"/>
      <c r="D259" s="24"/>
      <c r="E259" s="190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>
      <c r="A260" s="24"/>
      <c r="B260" s="24"/>
      <c r="C260" s="24"/>
      <c r="D260" s="24"/>
      <c r="E260" s="190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>
      <c r="A261" s="24"/>
      <c r="B261" s="24"/>
      <c r="C261" s="24"/>
      <c r="D261" s="24"/>
      <c r="E261" s="190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>
      <c r="A262" s="24"/>
      <c r="B262" s="24"/>
      <c r="C262" s="24"/>
      <c r="D262" s="24"/>
      <c r="E262" s="190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>
      <c r="A263" s="24"/>
      <c r="B263" s="24"/>
      <c r="C263" s="24"/>
      <c r="D263" s="24"/>
      <c r="E263" s="190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>
      <c r="A264" s="24"/>
      <c r="B264" s="24"/>
      <c r="C264" s="24"/>
      <c r="D264" s="24"/>
      <c r="E264" s="190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>
      <c r="A265" s="24"/>
      <c r="B265" s="24"/>
      <c r="C265" s="24"/>
      <c r="D265" s="24"/>
      <c r="E265" s="190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>
      <c r="A266" s="24"/>
      <c r="B266" s="24"/>
      <c r="C266" s="24"/>
      <c r="D266" s="24"/>
      <c r="E266" s="190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>
      <c r="A267" s="24"/>
      <c r="B267" s="24"/>
      <c r="C267" s="24"/>
      <c r="D267" s="24"/>
      <c r="E267" s="190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>
      <c r="A268" s="24"/>
      <c r="B268" s="24"/>
      <c r="C268" s="24"/>
      <c r="D268" s="24"/>
      <c r="E268" s="190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>
      <c r="A269" s="24"/>
      <c r="B269" s="24"/>
      <c r="C269" s="24"/>
      <c r="D269" s="24"/>
      <c r="E269" s="190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>
      <c r="A270" s="24"/>
      <c r="B270" s="24"/>
      <c r="C270" s="24"/>
      <c r="D270" s="24"/>
      <c r="E270" s="190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>
      <c r="A271" s="24"/>
      <c r="B271" s="24"/>
      <c r="C271" s="24"/>
      <c r="D271" s="24"/>
      <c r="E271" s="190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>
      <c r="A272" s="24"/>
      <c r="B272" s="24"/>
      <c r="C272" s="24"/>
      <c r="D272" s="24"/>
      <c r="E272" s="190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>
      <c r="A273" s="24"/>
      <c r="B273" s="24"/>
      <c r="C273" s="24"/>
      <c r="D273" s="24"/>
      <c r="E273" s="190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>
      <c r="A274" s="24"/>
      <c r="B274" s="24"/>
      <c r="C274" s="24"/>
      <c r="D274" s="24"/>
      <c r="E274" s="190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>
      <c r="A275" s="24"/>
      <c r="B275" s="24"/>
      <c r="C275" s="24"/>
      <c r="D275" s="24"/>
      <c r="E275" s="190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>
      <c r="A276" s="24"/>
      <c r="B276" s="24"/>
      <c r="C276" s="24"/>
      <c r="D276" s="24"/>
      <c r="E276" s="190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>
      <c r="A277" s="24"/>
      <c r="B277" s="24"/>
      <c r="C277" s="24"/>
      <c r="D277" s="24"/>
      <c r="E277" s="190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>
      <c r="A278" s="24"/>
      <c r="B278" s="24"/>
      <c r="C278" s="24"/>
      <c r="D278" s="24"/>
      <c r="E278" s="190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>
      <c r="A279" s="24"/>
      <c r="B279" s="24"/>
      <c r="C279" s="24"/>
      <c r="D279" s="24"/>
      <c r="E279" s="190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>
      <c r="A280" s="24"/>
      <c r="B280" s="24"/>
      <c r="C280" s="24"/>
      <c r="D280" s="24"/>
      <c r="E280" s="190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>
      <c r="A281" s="24"/>
      <c r="B281" s="24"/>
      <c r="C281" s="24"/>
      <c r="D281" s="24"/>
      <c r="E281" s="190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>
      <c r="A282" s="24"/>
      <c r="B282" s="24"/>
      <c r="C282" s="24"/>
      <c r="D282" s="24"/>
      <c r="E282" s="190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>
      <c r="A283" s="24"/>
      <c r="B283" s="24"/>
      <c r="C283" s="24"/>
      <c r="D283" s="24"/>
      <c r="E283" s="190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>
      <c r="A284" s="24"/>
      <c r="B284" s="24"/>
      <c r="C284" s="24"/>
      <c r="D284" s="24"/>
      <c r="E284" s="190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>
      <c r="A285" s="24"/>
      <c r="B285" s="24"/>
      <c r="C285" s="24"/>
      <c r="D285" s="24"/>
      <c r="E285" s="190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>
      <c r="A286" s="24"/>
      <c r="B286" s="24"/>
      <c r="C286" s="24"/>
      <c r="D286" s="24"/>
      <c r="E286" s="190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>
      <c r="A287" s="24"/>
      <c r="B287" s="24"/>
      <c r="C287" s="24"/>
      <c r="D287" s="24"/>
      <c r="E287" s="190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>
      <c r="A288" s="24"/>
      <c r="B288" s="24"/>
      <c r="C288" s="24"/>
      <c r="D288" s="24"/>
      <c r="E288" s="190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>
      <c r="A289" s="24"/>
      <c r="B289" s="24"/>
      <c r="C289" s="24"/>
      <c r="D289" s="24"/>
      <c r="E289" s="190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>
      <c r="A290" s="24"/>
      <c r="B290" s="24"/>
      <c r="C290" s="24"/>
      <c r="D290" s="24"/>
      <c r="E290" s="190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>
      <c r="A291" s="24"/>
      <c r="B291" s="24"/>
      <c r="C291" s="24"/>
      <c r="D291" s="24"/>
      <c r="E291" s="190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>
      <c r="A292" s="24"/>
      <c r="B292" s="24"/>
      <c r="C292" s="24"/>
      <c r="D292" s="24"/>
      <c r="E292" s="190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>
      <c r="A293" s="24"/>
      <c r="B293" s="24"/>
      <c r="C293" s="24"/>
      <c r="D293" s="24"/>
      <c r="E293" s="190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>
      <c r="A294" s="24"/>
      <c r="B294" s="24"/>
      <c r="C294" s="24"/>
      <c r="D294" s="24"/>
      <c r="E294" s="190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>
      <c r="A295" s="24"/>
      <c r="B295" s="24"/>
      <c r="C295" s="24"/>
      <c r="D295" s="24"/>
      <c r="E295" s="190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>
      <c r="A296" s="24"/>
      <c r="B296" s="24"/>
      <c r="C296" s="24"/>
      <c r="D296" s="24"/>
      <c r="E296" s="190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>
      <c r="A297" s="24"/>
      <c r="B297" s="24"/>
      <c r="C297" s="24"/>
      <c r="D297" s="24"/>
      <c r="E297" s="190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>
      <c r="A298" s="24"/>
      <c r="B298" s="24"/>
      <c r="C298" s="24"/>
      <c r="D298" s="24"/>
      <c r="E298" s="190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>
      <c r="A299" s="24"/>
      <c r="B299" s="24"/>
      <c r="C299" s="24"/>
      <c r="D299" s="24"/>
      <c r="E299" s="190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>
      <c r="A300" s="24"/>
      <c r="B300" s="24"/>
      <c r="C300" s="24"/>
      <c r="D300" s="24"/>
      <c r="E300" s="190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>
      <c r="A301" s="24"/>
      <c r="B301" s="24"/>
      <c r="C301" s="24"/>
      <c r="D301" s="24"/>
      <c r="E301" s="190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>
      <c r="A302" s="24"/>
      <c r="B302" s="24"/>
      <c r="C302" s="24"/>
      <c r="D302" s="24"/>
      <c r="E302" s="190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>
      <c r="A303" s="24"/>
      <c r="B303" s="24"/>
      <c r="C303" s="24"/>
      <c r="D303" s="24"/>
      <c r="E303" s="190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>
      <c r="A304" s="24"/>
      <c r="B304" s="24"/>
      <c r="C304" s="24"/>
      <c r="D304" s="24"/>
      <c r="E304" s="190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>
      <c r="A305" s="24"/>
      <c r="B305" s="24"/>
      <c r="C305" s="24"/>
      <c r="D305" s="24"/>
      <c r="E305" s="190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>
      <c r="A306" s="24"/>
      <c r="B306" s="24"/>
      <c r="C306" s="24"/>
      <c r="D306" s="24"/>
      <c r="E306" s="190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>
      <c r="A307" s="24"/>
      <c r="B307" s="24"/>
      <c r="C307" s="24"/>
      <c r="D307" s="24"/>
      <c r="E307" s="190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>
      <c r="A308" s="24"/>
      <c r="B308" s="24"/>
      <c r="C308" s="24"/>
      <c r="D308" s="24"/>
      <c r="E308" s="190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>
      <c r="A309" s="24"/>
      <c r="B309" s="24"/>
      <c r="C309" s="24"/>
      <c r="D309" s="24"/>
      <c r="E309" s="190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>
      <c r="A310" s="24"/>
      <c r="B310" s="24"/>
      <c r="C310" s="24"/>
      <c r="D310" s="24"/>
      <c r="E310" s="190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>
      <c r="A311" s="24"/>
      <c r="B311" s="24"/>
      <c r="C311" s="24"/>
      <c r="D311" s="24"/>
      <c r="E311" s="190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>
      <c r="A312" s="24"/>
      <c r="B312" s="24"/>
      <c r="C312" s="24"/>
      <c r="D312" s="24"/>
      <c r="E312" s="190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>
      <c r="A313" s="24"/>
      <c r="B313" s="24"/>
      <c r="C313" s="24"/>
      <c r="D313" s="24"/>
      <c r="E313" s="190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>
      <c r="A314" s="24"/>
      <c r="B314" s="24"/>
      <c r="C314" s="24"/>
      <c r="D314" s="24"/>
      <c r="E314" s="190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>
      <c r="A315" s="24"/>
      <c r="B315" s="24"/>
      <c r="C315" s="24"/>
      <c r="D315" s="24"/>
      <c r="E315" s="190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>
      <c r="A316" s="24"/>
      <c r="B316" s="24"/>
      <c r="C316" s="24"/>
      <c r="D316" s="24"/>
      <c r="E316" s="190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>
      <c r="A317" s="24"/>
      <c r="B317" s="24"/>
      <c r="C317" s="24"/>
      <c r="D317" s="24"/>
      <c r="E317" s="190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>
      <c r="A318" s="24"/>
      <c r="B318" s="24"/>
      <c r="C318" s="24"/>
      <c r="D318" s="24"/>
      <c r="E318" s="190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>
      <c r="A319" s="24"/>
      <c r="B319" s="24"/>
      <c r="C319" s="24"/>
      <c r="D319" s="24"/>
      <c r="E319" s="190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>
      <c r="A320" s="24"/>
      <c r="B320" s="24"/>
      <c r="C320" s="24"/>
      <c r="D320" s="24"/>
      <c r="E320" s="190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>
      <c r="A321" s="24"/>
      <c r="B321" s="24"/>
      <c r="C321" s="24"/>
      <c r="D321" s="24"/>
      <c r="E321" s="190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>
      <c r="A322" s="24"/>
      <c r="B322" s="24"/>
      <c r="C322" s="24"/>
      <c r="D322" s="24"/>
      <c r="E322" s="190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>
      <c r="A323" s="24"/>
      <c r="B323" s="24"/>
      <c r="C323" s="24"/>
      <c r="D323" s="24"/>
      <c r="E323" s="190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>
      <c r="A324" s="24"/>
      <c r="B324" s="24"/>
      <c r="C324" s="24"/>
      <c r="D324" s="24"/>
      <c r="E324" s="190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>
      <c r="A325" s="24"/>
      <c r="B325" s="24"/>
      <c r="C325" s="24"/>
      <c r="D325" s="24"/>
      <c r="E325" s="190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>
      <c r="A326" s="24"/>
      <c r="B326" s="24"/>
      <c r="C326" s="24"/>
      <c r="D326" s="24"/>
      <c r="E326" s="190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>
      <c r="A327" s="24"/>
      <c r="B327" s="24"/>
      <c r="C327" s="24"/>
      <c r="D327" s="24"/>
      <c r="E327" s="190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>
      <c r="A328" s="24"/>
      <c r="B328" s="24"/>
      <c r="C328" s="24"/>
      <c r="D328" s="24"/>
      <c r="E328" s="190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>
      <c r="A329" s="24"/>
      <c r="B329" s="24"/>
      <c r="C329" s="24"/>
      <c r="D329" s="24"/>
      <c r="E329" s="190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>
      <c r="A330" s="24"/>
      <c r="B330" s="24"/>
      <c r="C330" s="24"/>
      <c r="D330" s="24"/>
      <c r="E330" s="190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>
      <c r="A331" s="24"/>
      <c r="B331" s="24"/>
      <c r="C331" s="24"/>
      <c r="D331" s="24"/>
      <c r="E331" s="190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>
      <c r="A332" s="24"/>
      <c r="B332" s="24"/>
      <c r="C332" s="24"/>
      <c r="D332" s="24"/>
      <c r="E332" s="190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>
      <c r="A333" s="24"/>
      <c r="B333" s="24"/>
      <c r="C333" s="24"/>
      <c r="D333" s="24"/>
      <c r="E333" s="190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>
      <c r="A334" s="24"/>
      <c r="B334" s="24"/>
      <c r="C334" s="24"/>
      <c r="D334" s="24"/>
      <c r="E334" s="190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>
      <c r="A335" s="24"/>
      <c r="B335" s="24"/>
      <c r="C335" s="24"/>
      <c r="D335" s="24"/>
      <c r="E335" s="190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>
      <c r="A336" s="24"/>
      <c r="B336" s="24"/>
      <c r="C336" s="24"/>
      <c r="D336" s="24"/>
      <c r="E336" s="190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>
      <c r="A337" s="24"/>
      <c r="B337" s="24"/>
      <c r="C337" s="24"/>
      <c r="D337" s="24"/>
      <c r="E337" s="190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>
      <c r="A338" s="24"/>
      <c r="B338" s="24"/>
      <c r="C338" s="24"/>
      <c r="D338" s="24"/>
      <c r="E338" s="190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>
      <c r="A339" s="24"/>
      <c r="B339" s="24"/>
      <c r="C339" s="24"/>
      <c r="D339" s="24"/>
      <c r="E339" s="190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>
      <c r="A340" s="24"/>
      <c r="B340" s="24"/>
      <c r="C340" s="24"/>
      <c r="D340" s="24"/>
      <c r="E340" s="190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>
      <c r="A341" s="24"/>
      <c r="B341" s="24"/>
      <c r="C341" s="24"/>
      <c r="D341" s="24"/>
      <c r="E341" s="190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>
      <c r="A342" s="24"/>
      <c r="B342" s="24"/>
      <c r="C342" s="24"/>
      <c r="D342" s="24"/>
      <c r="E342" s="190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>
      <c r="A343" s="24"/>
      <c r="B343" s="24"/>
      <c r="C343" s="24"/>
      <c r="D343" s="24"/>
      <c r="E343" s="190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>
      <c r="A344" s="24"/>
      <c r="B344" s="24"/>
      <c r="C344" s="24"/>
      <c r="D344" s="24"/>
      <c r="E344" s="190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>
      <c r="A345" s="24"/>
      <c r="B345" s="24"/>
      <c r="C345" s="24"/>
      <c r="D345" s="24"/>
      <c r="E345" s="190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>
      <c r="A346" s="24"/>
      <c r="B346" s="24"/>
      <c r="C346" s="24"/>
      <c r="D346" s="24"/>
      <c r="E346" s="190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>
      <c r="A347" s="24"/>
      <c r="B347" s="24"/>
      <c r="C347" s="24"/>
      <c r="D347" s="24"/>
      <c r="E347" s="190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>
      <c r="A348" s="24"/>
      <c r="B348" s="24"/>
      <c r="C348" s="24"/>
      <c r="D348" s="24"/>
      <c r="E348" s="190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>
      <c r="A349" s="24"/>
      <c r="B349" s="24"/>
      <c r="C349" s="24"/>
      <c r="D349" s="24"/>
      <c r="E349" s="190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>
      <c r="A350" s="24"/>
      <c r="B350" s="24"/>
      <c r="C350" s="24"/>
      <c r="D350" s="24"/>
      <c r="E350" s="190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>
      <c r="A351" s="24"/>
      <c r="B351" s="24"/>
      <c r="C351" s="24"/>
      <c r="D351" s="24"/>
      <c r="E351" s="190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>
      <c r="A352" s="24"/>
      <c r="B352" s="24"/>
      <c r="C352" s="24"/>
      <c r="D352" s="24"/>
      <c r="E352" s="190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>
      <c r="A353" s="24"/>
      <c r="B353" s="24"/>
      <c r="C353" s="24"/>
      <c r="D353" s="24"/>
      <c r="E353" s="190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>
      <c r="A354" s="24"/>
      <c r="B354" s="24"/>
      <c r="C354" s="24"/>
      <c r="D354" s="24"/>
      <c r="E354" s="190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>
      <c r="A355" s="24"/>
      <c r="B355" s="24"/>
      <c r="C355" s="24"/>
      <c r="D355" s="24"/>
      <c r="E355" s="190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>
      <c r="A356" s="24"/>
      <c r="B356" s="24"/>
      <c r="C356" s="24"/>
      <c r="D356" s="24"/>
      <c r="E356" s="190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>
      <c r="A357" s="24"/>
      <c r="B357" s="24"/>
      <c r="C357" s="24"/>
      <c r="D357" s="24"/>
      <c r="E357" s="190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>
      <c r="A358" s="24"/>
      <c r="B358" s="24"/>
      <c r="C358" s="24"/>
      <c r="D358" s="24"/>
      <c r="E358" s="190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>
      <c r="A359" s="24"/>
      <c r="B359" s="24"/>
      <c r="C359" s="24"/>
      <c r="D359" s="24"/>
      <c r="E359" s="190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>
      <c r="A360" s="24"/>
      <c r="B360" s="24"/>
      <c r="C360" s="24"/>
      <c r="D360" s="24"/>
      <c r="E360" s="190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>
      <c r="A361" s="24"/>
      <c r="B361" s="24"/>
      <c r="C361" s="24"/>
      <c r="D361" s="24"/>
      <c r="E361" s="190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>
      <c r="A362" s="24"/>
      <c r="B362" s="24"/>
      <c r="C362" s="24"/>
      <c r="D362" s="24"/>
      <c r="E362" s="190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>
      <c r="A363" s="24"/>
      <c r="B363" s="24"/>
      <c r="C363" s="24"/>
      <c r="D363" s="24"/>
      <c r="E363" s="190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>
      <c r="A364" s="24"/>
      <c r="B364" s="24"/>
      <c r="C364" s="24"/>
      <c r="D364" s="24"/>
      <c r="E364" s="190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>
      <c r="A365" s="24"/>
      <c r="B365" s="24"/>
      <c r="C365" s="24"/>
      <c r="D365" s="24"/>
      <c r="E365" s="190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>
      <c r="A366" s="24"/>
      <c r="B366" s="24"/>
      <c r="C366" s="24"/>
      <c r="D366" s="24"/>
      <c r="E366" s="190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>
      <c r="A367" s="24"/>
      <c r="B367" s="24"/>
      <c r="C367" s="24"/>
      <c r="D367" s="24"/>
      <c r="E367" s="190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>
      <c r="A368" s="24"/>
      <c r="B368" s="24"/>
      <c r="C368" s="24"/>
      <c r="D368" s="24"/>
      <c r="E368" s="190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>
      <c r="A369" s="24"/>
      <c r="B369" s="24"/>
      <c r="C369" s="24"/>
      <c r="D369" s="24"/>
      <c r="E369" s="190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>
      <c r="A370" s="24"/>
      <c r="B370" s="24"/>
      <c r="C370" s="24"/>
      <c r="D370" s="24"/>
      <c r="E370" s="190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>
      <c r="A371" s="24"/>
      <c r="B371" s="24"/>
      <c r="C371" s="24"/>
      <c r="D371" s="24"/>
      <c r="E371" s="190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>
      <c r="A372" s="24"/>
      <c r="B372" s="24"/>
      <c r="C372" s="24"/>
      <c r="D372" s="24"/>
      <c r="E372" s="190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>
      <c r="A373" s="24"/>
      <c r="B373" s="24"/>
      <c r="C373" s="24"/>
      <c r="D373" s="24"/>
      <c r="E373" s="190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>
      <c r="A374" s="24"/>
      <c r="B374" s="24"/>
      <c r="C374" s="24"/>
      <c r="D374" s="24"/>
      <c r="E374" s="190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>
      <c r="A375" s="24"/>
      <c r="B375" s="24"/>
      <c r="C375" s="24"/>
      <c r="D375" s="24"/>
      <c r="E375" s="190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>
      <c r="A376" s="24"/>
      <c r="B376" s="24"/>
      <c r="C376" s="24"/>
      <c r="D376" s="24"/>
      <c r="E376" s="190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>
      <c r="A377" s="24"/>
      <c r="B377" s="24"/>
      <c r="C377" s="24"/>
      <c r="D377" s="24"/>
      <c r="E377" s="190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>
      <c r="A378" s="24"/>
      <c r="B378" s="24"/>
      <c r="C378" s="24"/>
      <c r="D378" s="24"/>
      <c r="E378" s="190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>
      <c r="A379" s="24"/>
      <c r="B379" s="24"/>
      <c r="C379" s="24"/>
      <c r="D379" s="24"/>
      <c r="E379" s="190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>
      <c r="A380" s="24"/>
      <c r="B380" s="24"/>
      <c r="C380" s="24"/>
      <c r="D380" s="24"/>
      <c r="E380" s="190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>
      <c r="A381" s="24"/>
      <c r="B381" s="24"/>
      <c r="C381" s="24"/>
      <c r="D381" s="24"/>
      <c r="E381" s="190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>
      <c r="A382" s="24"/>
      <c r="B382" s="24"/>
      <c r="C382" s="24"/>
      <c r="D382" s="24"/>
      <c r="E382" s="190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>
      <c r="A383" s="24"/>
      <c r="B383" s="24"/>
      <c r="C383" s="24"/>
      <c r="D383" s="24"/>
      <c r="E383" s="190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>
      <c r="A384" s="24"/>
      <c r="B384" s="24"/>
      <c r="C384" s="24"/>
      <c r="D384" s="24"/>
      <c r="E384" s="190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>
      <c r="A385" s="24"/>
      <c r="B385" s="24"/>
      <c r="C385" s="24"/>
      <c r="D385" s="24"/>
      <c r="E385" s="190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>
      <c r="A386" s="24"/>
      <c r="B386" s="24"/>
      <c r="C386" s="24"/>
      <c r="D386" s="24"/>
      <c r="E386" s="190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>
      <c r="A387" s="24"/>
      <c r="B387" s="24"/>
      <c r="C387" s="24"/>
      <c r="D387" s="24"/>
      <c r="E387" s="190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>
      <c r="A388" s="24"/>
      <c r="B388" s="24"/>
      <c r="C388" s="24"/>
      <c r="D388" s="24"/>
      <c r="E388" s="190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>
      <c r="A389" s="24"/>
      <c r="B389" s="24"/>
      <c r="C389" s="24"/>
      <c r="D389" s="24"/>
      <c r="E389" s="190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>
      <c r="A390" s="24"/>
      <c r="B390" s="24"/>
      <c r="C390" s="24"/>
      <c r="D390" s="24"/>
      <c r="E390" s="190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>
      <c r="A391" s="24"/>
      <c r="B391" s="24"/>
      <c r="C391" s="24"/>
      <c r="D391" s="24"/>
      <c r="E391" s="190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>
      <c r="A392" s="24"/>
      <c r="B392" s="24"/>
      <c r="C392" s="24"/>
      <c r="D392" s="24"/>
      <c r="E392" s="190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>
      <c r="A393" s="24"/>
      <c r="B393" s="24"/>
      <c r="C393" s="24"/>
      <c r="D393" s="24"/>
      <c r="E393" s="190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>
      <c r="A394" s="24"/>
      <c r="B394" s="24"/>
      <c r="C394" s="24"/>
      <c r="D394" s="24"/>
      <c r="E394" s="190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>
      <c r="A395" s="24"/>
      <c r="B395" s="24"/>
      <c r="C395" s="24"/>
      <c r="D395" s="24"/>
      <c r="E395" s="190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>
      <c r="A396" s="24"/>
      <c r="B396" s="24"/>
      <c r="C396" s="24"/>
      <c r="D396" s="24"/>
      <c r="E396" s="190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>
      <c r="A397" s="24"/>
      <c r="B397" s="24"/>
      <c r="C397" s="24"/>
      <c r="D397" s="24"/>
      <c r="E397" s="190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>
      <c r="A398" s="24"/>
      <c r="B398" s="24"/>
      <c r="C398" s="24"/>
      <c r="D398" s="24"/>
      <c r="E398" s="190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>
      <c r="A399" s="24"/>
      <c r="B399" s="24"/>
      <c r="C399" s="24"/>
      <c r="D399" s="24"/>
      <c r="E399" s="190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>
      <c r="A400" s="24"/>
      <c r="B400" s="24"/>
      <c r="C400" s="24"/>
      <c r="D400" s="24"/>
      <c r="E400" s="190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>
      <c r="A401" s="24"/>
      <c r="B401" s="24"/>
      <c r="C401" s="24"/>
      <c r="D401" s="24"/>
      <c r="E401" s="190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>
      <c r="A402" s="24"/>
      <c r="B402" s="24"/>
      <c r="C402" s="24"/>
      <c r="D402" s="24"/>
      <c r="E402" s="190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>
      <c r="A403" s="24"/>
      <c r="B403" s="24"/>
      <c r="C403" s="24"/>
      <c r="D403" s="24"/>
      <c r="E403" s="190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>
      <c r="A404" s="24"/>
      <c r="B404" s="24"/>
      <c r="C404" s="24"/>
      <c r="D404" s="24"/>
      <c r="E404" s="190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>
      <c r="A405" s="24"/>
      <c r="B405" s="24"/>
      <c r="C405" s="24"/>
      <c r="D405" s="24"/>
      <c r="E405" s="190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>
      <c r="A406" s="24"/>
      <c r="B406" s="24"/>
      <c r="C406" s="24"/>
      <c r="D406" s="24"/>
      <c r="E406" s="190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>
      <c r="A407" s="24"/>
      <c r="B407" s="24"/>
      <c r="C407" s="24"/>
      <c r="D407" s="24"/>
      <c r="E407" s="190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>
      <c r="A408" s="24"/>
      <c r="B408" s="24"/>
      <c r="C408" s="24"/>
      <c r="D408" s="24"/>
      <c r="E408" s="190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>
      <c r="A409" s="24"/>
      <c r="B409" s="24"/>
      <c r="C409" s="24"/>
      <c r="D409" s="24"/>
      <c r="E409" s="190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>
      <c r="A410" s="24"/>
      <c r="B410" s="24"/>
      <c r="C410" s="24"/>
      <c r="D410" s="24"/>
      <c r="E410" s="190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>
      <c r="A411" s="24"/>
      <c r="B411" s="24"/>
      <c r="C411" s="24"/>
      <c r="D411" s="24"/>
      <c r="E411" s="190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>
      <c r="A412" s="24"/>
      <c r="B412" s="24"/>
      <c r="C412" s="24"/>
      <c r="D412" s="24"/>
      <c r="E412" s="190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>
      <c r="A413" s="24"/>
      <c r="B413" s="24"/>
      <c r="C413" s="24"/>
      <c r="D413" s="24"/>
      <c r="E413" s="190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>
      <c r="A414" s="24"/>
      <c r="B414" s="24"/>
      <c r="C414" s="24"/>
      <c r="D414" s="24"/>
      <c r="E414" s="190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>
      <c r="A415" s="24"/>
      <c r="B415" s="24"/>
      <c r="C415" s="24"/>
      <c r="D415" s="24"/>
      <c r="E415" s="190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>
      <c r="A416" s="24"/>
      <c r="B416" s="24"/>
      <c r="C416" s="24"/>
      <c r="D416" s="24"/>
      <c r="E416" s="190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>
      <c r="A417" s="24"/>
      <c r="B417" s="24"/>
      <c r="C417" s="24"/>
      <c r="D417" s="24"/>
      <c r="E417" s="190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>
      <c r="A418" s="24"/>
      <c r="B418" s="24"/>
      <c r="C418" s="24"/>
      <c r="D418" s="24"/>
      <c r="E418" s="190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>
      <c r="A419" s="24"/>
      <c r="B419" s="24"/>
      <c r="C419" s="24"/>
      <c r="D419" s="24"/>
      <c r="E419" s="190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>
      <c r="A420" s="24"/>
      <c r="B420" s="24"/>
      <c r="C420" s="24"/>
      <c r="D420" s="24"/>
      <c r="E420" s="190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>
      <c r="A421" s="24"/>
      <c r="B421" s="24"/>
      <c r="C421" s="24"/>
      <c r="D421" s="24"/>
      <c r="E421" s="190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>
      <c r="A422" s="24"/>
      <c r="B422" s="24"/>
      <c r="C422" s="24"/>
      <c r="D422" s="24"/>
      <c r="E422" s="190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>
      <c r="A423" s="24"/>
      <c r="B423" s="24"/>
      <c r="C423" s="24"/>
      <c r="D423" s="24"/>
      <c r="E423" s="190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>
      <c r="A424" s="24"/>
      <c r="B424" s="24"/>
      <c r="C424" s="24"/>
      <c r="D424" s="24"/>
      <c r="E424" s="190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>
      <c r="A425" s="24"/>
      <c r="B425" s="24"/>
      <c r="C425" s="24"/>
      <c r="D425" s="24"/>
      <c r="E425" s="190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>
      <c r="A426" s="24"/>
      <c r="B426" s="24"/>
      <c r="C426" s="24"/>
      <c r="D426" s="24"/>
      <c r="E426" s="190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>
      <c r="A427" s="24"/>
      <c r="B427" s="24"/>
      <c r="C427" s="24"/>
      <c r="D427" s="24"/>
      <c r="E427" s="190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>
      <c r="A428" s="24"/>
      <c r="B428" s="24"/>
      <c r="C428" s="24"/>
      <c r="D428" s="24"/>
      <c r="E428" s="190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>
      <c r="A429" s="24"/>
      <c r="B429" s="24"/>
      <c r="C429" s="24"/>
      <c r="D429" s="24"/>
      <c r="E429" s="190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>
      <c r="A430" s="24"/>
      <c r="B430" s="24"/>
      <c r="C430" s="24"/>
      <c r="D430" s="24"/>
      <c r="E430" s="190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>
      <c r="A431" s="24"/>
      <c r="B431" s="24"/>
      <c r="C431" s="24"/>
      <c r="D431" s="24"/>
      <c r="E431" s="190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>
      <c r="A432" s="24"/>
      <c r="B432" s="24"/>
      <c r="C432" s="24"/>
      <c r="D432" s="24"/>
      <c r="E432" s="190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>
      <c r="A433" s="24"/>
      <c r="B433" s="24"/>
      <c r="C433" s="24"/>
      <c r="D433" s="24"/>
      <c r="E433" s="190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>
      <c r="A434" s="24"/>
      <c r="B434" s="24"/>
      <c r="C434" s="24"/>
      <c r="D434" s="24"/>
      <c r="E434" s="190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>
      <c r="A435" s="24"/>
      <c r="B435" s="24"/>
      <c r="C435" s="24"/>
      <c r="D435" s="24"/>
      <c r="E435" s="190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>
      <c r="A436" s="24"/>
      <c r="B436" s="24"/>
      <c r="C436" s="24"/>
      <c r="D436" s="24"/>
      <c r="E436" s="190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>
      <c r="A437" s="24"/>
      <c r="B437" s="24"/>
      <c r="C437" s="24"/>
      <c r="D437" s="24"/>
      <c r="E437" s="190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>
      <c r="A438" s="24"/>
      <c r="B438" s="24"/>
      <c r="C438" s="24"/>
      <c r="D438" s="24"/>
      <c r="E438" s="190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>
      <c r="A439" s="24"/>
      <c r="B439" s="24"/>
      <c r="C439" s="24"/>
      <c r="D439" s="24"/>
      <c r="E439" s="190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>
      <c r="A440" s="24"/>
      <c r="B440" s="24"/>
      <c r="C440" s="24"/>
      <c r="D440" s="24"/>
      <c r="E440" s="190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>
      <c r="A441" s="24"/>
      <c r="B441" s="24"/>
      <c r="C441" s="24"/>
      <c r="D441" s="24"/>
      <c r="E441" s="190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>
      <c r="A442" s="24"/>
      <c r="B442" s="24"/>
      <c r="C442" s="24"/>
      <c r="D442" s="24"/>
      <c r="E442" s="190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>
      <c r="A443" s="24"/>
      <c r="B443" s="24"/>
      <c r="C443" s="24"/>
      <c r="D443" s="24"/>
      <c r="E443" s="190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>
      <c r="A444" s="24"/>
      <c r="B444" s="24"/>
      <c r="C444" s="24"/>
      <c r="D444" s="24"/>
      <c r="E444" s="190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>
      <c r="A445" s="24"/>
      <c r="B445" s="24"/>
      <c r="C445" s="24"/>
      <c r="D445" s="24"/>
      <c r="E445" s="190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>
      <c r="A446" s="24"/>
      <c r="B446" s="24"/>
      <c r="C446" s="24"/>
      <c r="D446" s="24"/>
      <c r="E446" s="190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>
      <c r="A447" s="24"/>
      <c r="B447" s="24"/>
      <c r="C447" s="24"/>
      <c r="D447" s="24"/>
      <c r="E447" s="190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>
      <c r="A448" s="24"/>
      <c r="B448" s="24"/>
      <c r="C448" s="24"/>
      <c r="D448" s="24"/>
      <c r="E448" s="190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>
      <c r="A449" s="24"/>
      <c r="B449" s="24"/>
      <c r="C449" s="24"/>
      <c r="D449" s="24"/>
      <c r="E449" s="190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>
      <c r="A450" s="24"/>
      <c r="B450" s="24"/>
      <c r="C450" s="24"/>
      <c r="D450" s="24"/>
      <c r="E450" s="190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>
      <c r="A451" s="24"/>
      <c r="B451" s="24"/>
      <c r="C451" s="24"/>
      <c r="D451" s="24"/>
      <c r="E451" s="190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>
      <c r="A452" s="24"/>
      <c r="B452" s="24"/>
      <c r="C452" s="24"/>
      <c r="D452" s="24"/>
      <c r="E452" s="190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>
      <c r="A453" s="24"/>
      <c r="B453" s="24"/>
      <c r="C453" s="24"/>
      <c r="D453" s="24"/>
      <c r="E453" s="190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>
      <c r="A454" s="24"/>
      <c r="B454" s="24"/>
      <c r="C454" s="24"/>
      <c r="D454" s="24"/>
      <c r="E454" s="190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>
      <c r="A455" s="24"/>
      <c r="B455" s="24"/>
      <c r="C455" s="24"/>
      <c r="D455" s="24"/>
      <c r="E455" s="190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>
      <c r="A456" s="24"/>
      <c r="B456" s="24"/>
      <c r="C456" s="24"/>
      <c r="D456" s="24"/>
      <c r="E456" s="190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>
      <c r="A457" s="24"/>
      <c r="B457" s="24"/>
      <c r="C457" s="24"/>
      <c r="D457" s="24"/>
      <c r="E457" s="190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>
      <c r="A458" s="24"/>
      <c r="B458" s="24"/>
      <c r="C458" s="24"/>
      <c r="D458" s="24"/>
      <c r="E458" s="190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>
      <c r="A459" s="24"/>
      <c r="B459" s="24"/>
      <c r="C459" s="24"/>
      <c r="D459" s="24"/>
      <c r="E459" s="190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>
      <c r="A460" s="24"/>
      <c r="B460" s="24"/>
      <c r="C460" s="24"/>
      <c r="D460" s="24"/>
      <c r="E460" s="190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>
      <c r="A461" s="24"/>
      <c r="B461" s="24"/>
      <c r="C461" s="24"/>
      <c r="D461" s="24"/>
      <c r="E461" s="190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>
      <c r="A462" s="24"/>
      <c r="B462" s="24"/>
      <c r="C462" s="24"/>
      <c r="D462" s="24"/>
      <c r="E462" s="190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>
      <c r="A463" s="24"/>
      <c r="B463" s="24"/>
      <c r="C463" s="24"/>
      <c r="D463" s="24"/>
      <c r="E463" s="190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>
      <c r="A464" s="24"/>
      <c r="B464" s="24"/>
      <c r="C464" s="24"/>
      <c r="D464" s="24"/>
      <c r="E464" s="190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>
      <c r="A465" s="24"/>
      <c r="B465" s="24"/>
      <c r="C465" s="24"/>
      <c r="D465" s="24"/>
      <c r="E465" s="190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>
      <c r="A466" s="24"/>
      <c r="B466" s="24"/>
      <c r="C466" s="24"/>
      <c r="D466" s="24"/>
      <c r="E466" s="190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>
      <c r="A467" s="24"/>
      <c r="B467" s="24"/>
      <c r="C467" s="24"/>
      <c r="D467" s="24"/>
      <c r="E467" s="190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>
      <c r="A468" s="24"/>
      <c r="B468" s="24"/>
      <c r="C468" s="24"/>
      <c r="D468" s="24"/>
      <c r="E468" s="190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>
      <c r="A469" s="24"/>
      <c r="B469" s="24"/>
      <c r="C469" s="24"/>
      <c r="D469" s="24"/>
      <c r="E469" s="190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>
      <c r="A470" s="24"/>
      <c r="B470" s="24"/>
      <c r="C470" s="24"/>
      <c r="D470" s="24"/>
      <c r="E470" s="190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>
      <c r="A471" s="24"/>
      <c r="B471" s="24"/>
      <c r="C471" s="24"/>
      <c r="D471" s="24"/>
      <c r="E471" s="190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>
      <c r="A472" s="24"/>
      <c r="B472" s="24"/>
      <c r="C472" s="24"/>
      <c r="D472" s="24"/>
      <c r="E472" s="190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>
      <c r="A473" s="24"/>
      <c r="B473" s="24"/>
      <c r="C473" s="24"/>
      <c r="D473" s="24"/>
      <c r="E473" s="190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>
      <c r="A474" s="24"/>
      <c r="B474" s="24"/>
      <c r="C474" s="24"/>
      <c r="D474" s="24"/>
      <c r="E474" s="190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>
      <c r="A475" s="24"/>
      <c r="B475" s="24"/>
      <c r="C475" s="24"/>
      <c r="D475" s="24"/>
      <c r="E475" s="190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>
      <c r="A476" s="24"/>
      <c r="B476" s="24"/>
      <c r="C476" s="24"/>
      <c r="D476" s="24"/>
      <c r="E476" s="190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>
      <c r="A477" s="24"/>
      <c r="B477" s="24"/>
      <c r="C477" s="24"/>
      <c r="D477" s="24"/>
      <c r="E477" s="190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>
      <c r="A478" s="24"/>
      <c r="B478" s="24"/>
      <c r="C478" s="24"/>
      <c r="D478" s="24"/>
      <c r="E478" s="190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>
      <c r="A479" s="24"/>
      <c r="B479" s="24"/>
      <c r="C479" s="24"/>
      <c r="D479" s="24"/>
      <c r="E479" s="190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>
      <c r="A480" s="24"/>
      <c r="B480" s="24"/>
      <c r="C480" s="24"/>
      <c r="D480" s="24"/>
      <c r="E480" s="190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>
      <c r="A481" s="24"/>
      <c r="B481" s="24"/>
      <c r="C481" s="24"/>
      <c r="D481" s="24"/>
      <c r="E481" s="190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>
      <c r="A482" s="24"/>
      <c r="B482" s="24"/>
      <c r="C482" s="24"/>
      <c r="D482" s="24"/>
      <c r="E482" s="190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>
      <c r="A483" s="24"/>
      <c r="B483" s="24"/>
      <c r="C483" s="24"/>
      <c r="D483" s="24"/>
      <c r="E483" s="190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>
      <c r="A484" s="24"/>
      <c r="B484" s="24"/>
      <c r="C484" s="24"/>
      <c r="D484" s="24"/>
      <c r="E484" s="190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>
      <c r="A485" s="24"/>
      <c r="B485" s="24"/>
      <c r="C485" s="24"/>
      <c r="D485" s="24"/>
      <c r="E485" s="190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>
      <c r="A486" s="24"/>
      <c r="B486" s="24"/>
      <c r="C486" s="24"/>
      <c r="D486" s="24"/>
      <c r="E486" s="190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>
      <c r="A487" s="24"/>
      <c r="B487" s="24"/>
      <c r="C487" s="24"/>
      <c r="D487" s="24"/>
      <c r="E487" s="190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>
      <c r="A488" s="24"/>
      <c r="B488" s="24"/>
      <c r="C488" s="24"/>
      <c r="D488" s="24"/>
      <c r="E488" s="190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>
      <c r="A489" s="24"/>
      <c r="B489" s="24"/>
      <c r="C489" s="24"/>
      <c r="D489" s="24"/>
      <c r="E489" s="190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>
      <c r="A490" s="24"/>
      <c r="B490" s="24"/>
      <c r="C490" s="24"/>
      <c r="D490" s="24"/>
      <c r="E490" s="190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>
      <c r="A491" s="24"/>
      <c r="B491" s="24"/>
      <c r="C491" s="24"/>
      <c r="D491" s="24"/>
      <c r="E491" s="190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>
      <c r="A492" s="24"/>
      <c r="B492" s="24"/>
      <c r="C492" s="24"/>
      <c r="D492" s="24"/>
      <c r="E492" s="190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>
      <c r="A493" s="24"/>
      <c r="B493" s="24"/>
      <c r="C493" s="24"/>
      <c r="D493" s="24"/>
      <c r="E493" s="190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>
      <c r="A494" s="24"/>
      <c r="B494" s="24"/>
      <c r="C494" s="24"/>
      <c r="D494" s="24"/>
      <c r="E494" s="190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>
      <c r="A495" s="24"/>
      <c r="B495" s="24"/>
      <c r="C495" s="24"/>
      <c r="D495" s="24"/>
      <c r="E495" s="190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>
      <c r="A496" s="24"/>
      <c r="B496" s="24"/>
      <c r="C496" s="24"/>
      <c r="D496" s="24"/>
      <c r="E496" s="190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>
      <c r="A497" s="24"/>
      <c r="B497" s="24"/>
      <c r="C497" s="24"/>
      <c r="D497" s="24"/>
      <c r="E497" s="190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>
      <c r="A498" s="24"/>
      <c r="B498" s="24"/>
      <c r="C498" s="24"/>
      <c r="D498" s="24"/>
      <c r="E498" s="190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>
      <c r="A499" s="24"/>
      <c r="B499" s="24"/>
      <c r="C499" s="24"/>
      <c r="D499" s="24"/>
      <c r="E499" s="190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>
      <c r="A500" s="24"/>
      <c r="B500" s="24"/>
      <c r="C500" s="24"/>
      <c r="D500" s="24"/>
      <c r="E500" s="190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>
      <c r="A501" s="24"/>
      <c r="B501" s="24"/>
      <c r="C501" s="24"/>
      <c r="D501" s="24"/>
      <c r="E501" s="190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>
      <c r="A502" s="24"/>
      <c r="B502" s="24"/>
      <c r="C502" s="24"/>
      <c r="D502" s="24"/>
      <c r="E502" s="190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>
      <c r="A503" s="24"/>
      <c r="B503" s="24"/>
      <c r="C503" s="24"/>
      <c r="D503" s="24"/>
      <c r="E503" s="190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>
      <c r="A504" s="24"/>
      <c r="B504" s="24"/>
      <c r="C504" s="24"/>
      <c r="D504" s="24"/>
      <c r="E504" s="190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>
      <c r="A505" s="24"/>
      <c r="B505" s="24"/>
      <c r="C505" s="24"/>
      <c r="D505" s="24"/>
      <c r="E505" s="190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>
      <c r="A506" s="24"/>
      <c r="B506" s="24"/>
      <c r="C506" s="24"/>
      <c r="D506" s="24"/>
      <c r="E506" s="190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>
      <c r="A507" s="24"/>
      <c r="B507" s="24"/>
      <c r="C507" s="24"/>
      <c r="D507" s="24"/>
      <c r="E507" s="190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>
      <c r="A508" s="24"/>
      <c r="B508" s="24"/>
      <c r="C508" s="24"/>
      <c r="D508" s="24"/>
      <c r="E508" s="190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>
      <c r="A509" s="24"/>
      <c r="B509" s="24"/>
      <c r="C509" s="24"/>
      <c r="D509" s="24"/>
      <c r="E509" s="190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>
      <c r="A510" s="24"/>
      <c r="B510" s="24"/>
      <c r="C510" s="24"/>
      <c r="D510" s="24"/>
      <c r="E510" s="190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>
      <c r="A511" s="24"/>
      <c r="B511" s="24"/>
      <c r="C511" s="24"/>
      <c r="D511" s="24"/>
      <c r="E511" s="190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>
      <c r="A512" s="24"/>
      <c r="B512" s="24"/>
      <c r="C512" s="24"/>
      <c r="D512" s="24"/>
      <c r="E512" s="190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>
      <c r="A513" s="24"/>
      <c r="B513" s="24"/>
      <c r="C513" s="24"/>
      <c r="D513" s="24"/>
      <c r="E513" s="190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>
      <c r="A514" s="24"/>
      <c r="B514" s="24"/>
      <c r="C514" s="24"/>
      <c r="D514" s="24"/>
      <c r="E514" s="190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>
      <c r="A515" s="24"/>
      <c r="B515" s="24"/>
      <c r="C515" s="24"/>
      <c r="D515" s="24"/>
      <c r="E515" s="190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>
      <c r="A516" s="24"/>
      <c r="B516" s="24"/>
      <c r="C516" s="24"/>
      <c r="D516" s="24"/>
      <c r="E516" s="190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>
      <c r="A517" s="24"/>
      <c r="B517" s="24"/>
      <c r="C517" s="24"/>
      <c r="D517" s="24"/>
      <c r="E517" s="190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>
      <c r="A518" s="24"/>
      <c r="B518" s="24"/>
      <c r="C518" s="24"/>
      <c r="D518" s="24"/>
      <c r="E518" s="190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>
      <c r="A519" s="24"/>
      <c r="B519" s="24"/>
      <c r="C519" s="24"/>
      <c r="D519" s="24"/>
      <c r="E519" s="190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>
      <c r="A520" s="24"/>
      <c r="B520" s="24"/>
      <c r="C520" s="24"/>
      <c r="D520" s="24"/>
      <c r="E520" s="190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>
      <c r="A521" s="24"/>
      <c r="B521" s="24"/>
      <c r="C521" s="24"/>
      <c r="D521" s="24"/>
      <c r="E521" s="190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>
      <c r="A522" s="24"/>
      <c r="B522" s="24"/>
      <c r="C522" s="24"/>
      <c r="D522" s="24"/>
      <c r="E522" s="190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>
      <c r="A523" s="24"/>
      <c r="B523" s="24"/>
      <c r="C523" s="24"/>
      <c r="D523" s="24"/>
      <c r="E523" s="190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>
      <c r="A524" s="24"/>
      <c r="B524" s="24"/>
      <c r="C524" s="24"/>
      <c r="D524" s="24"/>
      <c r="E524" s="190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>
      <c r="A525" s="24"/>
      <c r="B525" s="24"/>
      <c r="C525" s="24"/>
      <c r="D525" s="24"/>
      <c r="E525" s="190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>
      <c r="A526" s="24"/>
      <c r="B526" s="24"/>
      <c r="C526" s="24"/>
      <c r="D526" s="24"/>
      <c r="E526" s="190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>
      <c r="A527" s="24"/>
      <c r="B527" s="24"/>
      <c r="C527" s="24"/>
      <c r="D527" s="24"/>
      <c r="E527" s="190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>
      <c r="A528" s="24"/>
      <c r="B528" s="24"/>
      <c r="C528" s="24"/>
      <c r="D528" s="24"/>
      <c r="E528" s="190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>
      <c r="A529" s="24"/>
      <c r="B529" s="24"/>
      <c r="C529" s="24"/>
      <c r="D529" s="24"/>
      <c r="E529" s="190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>
      <c r="A530" s="24"/>
      <c r="B530" s="24"/>
      <c r="C530" s="24"/>
      <c r="D530" s="24"/>
      <c r="E530" s="190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>
      <c r="A531" s="24"/>
      <c r="B531" s="24"/>
      <c r="C531" s="24"/>
      <c r="D531" s="24"/>
      <c r="E531" s="190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>
      <c r="A532" s="24"/>
      <c r="B532" s="24"/>
      <c r="C532" s="24"/>
      <c r="D532" s="24"/>
      <c r="E532" s="190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>
      <c r="A533" s="24"/>
      <c r="B533" s="24"/>
      <c r="C533" s="24"/>
      <c r="D533" s="24"/>
      <c r="E533" s="190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>
      <c r="A534" s="24"/>
      <c r="B534" s="24"/>
      <c r="C534" s="24"/>
      <c r="D534" s="24"/>
      <c r="E534" s="190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>
      <c r="A535" s="24"/>
      <c r="B535" s="24"/>
      <c r="C535" s="24"/>
      <c r="D535" s="24"/>
      <c r="E535" s="190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>
      <c r="A536" s="24"/>
      <c r="B536" s="24"/>
      <c r="C536" s="24"/>
      <c r="D536" s="24"/>
      <c r="E536" s="190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>
      <c r="A537" s="24"/>
      <c r="B537" s="24"/>
      <c r="C537" s="24"/>
      <c r="D537" s="24"/>
      <c r="E537" s="190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>
      <c r="A538" s="24"/>
      <c r="B538" s="24"/>
      <c r="C538" s="24"/>
      <c r="D538" s="24"/>
      <c r="E538" s="190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>
      <c r="A539" s="24"/>
      <c r="B539" s="24"/>
      <c r="C539" s="24"/>
      <c r="D539" s="24"/>
      <c r="E539" s="190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>
      <c r="A540" s="24"/>
      <c r="B540" s="24"/>
      <c r="C540" s="24"/>
      <c r="D540" s="24"/>
      <c r="E540" s="190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>
      <c r="A541" s="24"/>
      <c r="B541" s="24"/>
      <c r="C541" s="24"/>
      <c r="D541" s="24"/>
      <c r="E541" s="190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>
      <c r="A542" s="24"/>
      <c r="B542" s="24"/>
      <c r="C542" s="24"/>
      <c r="D542" s="24"/>
      <c r="E542" s="190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>
      <c r="A543" s="24"/>
      <c r="B543" s="24"/>
      <c r="C543" s="24"/>
      <c r="D543" s="24"/>
      <c r="E543" s="190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>
      <c r="A544" s="24"/>
      <c r="B544" s="24"/>
      <c r="C544" s="24"/>
      <c r="D544" s="24"/>
      <c r="E544" s="190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>
      <c r="A545" s="24"/>
      <c r="B545" s="24"/>
      <c r="C545" s="24"/>
      <c r="D545" s="24"/>
      <c r="E545" s="190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>
      <c r="A546" s="24"/>
      <c r="B546" s="24"/>
      <c r="C546" s="24"/>
      <c r="D546" s="24"/>
      <c r="E546" s="190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>
      <c r="A547" s="24"/>
      <c r="B547" s="24"/>
      <c r="C547" s="24"/>
      <c r="D547" s="24"/>
      <c r="E547" s="190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>
      <c r="A548" s="24"/>
      <c r="B548" s="24"/>
      <c r="C548" s="24"/>
      <c r="D548" s="24"/>
      <c r="E548" s="190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>
      <c r="A549" s="24"/>
      <c r="B549" s="24"/>
      <c r="C549" s="24"/>
      <c r="D549" s="24"/>
      <c r="E549" s="190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>
      <c r="A550" s="24"/>
      <c r="B550" s="24"/>
      <c r="C550" s="24"/>
      <c r="D550" s="24"/>
      <c r="E550" s="190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>
      <c r="A551" s="24"/>
      <c r="B551" s="24"/>
      <c r="C551" s="24"/>
      <c r="D551" s="24"/>
      <c r="E551" s="190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>
      <c r="A552" s="24"/>
      <c r="B552" s="24"/>
      <c r="C552" s="24"/>
      <c r="D552" s="24"/>
      <c r="E552" s="190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>
      <c r="A553" s="24"/>
      <c r="B553" s="24"/>
      <c r="C553" s="24"/>
      <c r="D553" s="24"/>
      <c r="E553" s="190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>
      <c r="A554" s="24"/>
      <c r="B554" s="24"/>
      <c r="C554" s="24"/>
      <c r="D554" s="24"/>
      <c r="E554" s="190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>
      <c r="A555" s="24"/>
      <c r="B555" s="24"/>
      <c r="C555" s="24"/>
      <c r="D555" s="24"/>
      <c r="E555" s="190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>
      <c r="A556" s="24"/>
      <c r="B556" s="24"/>
      <c r="C556" s="24"/>
      <c r="D556" s="24"/>
      <c r="E556" s="190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>
      <c r="A557" s="24"/>
      <c r="B557" s="24"/>
      <c r="C557" s="24"/>
      <c r="D557" s="24"/>
      <c r="E557" s="190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>
      <c r="A558" s="24"/>
      <c r="B558" s="24"/>
      <c r="C558" s="24"/>
      <c r="D558" s="24"/>
      <c r="E558" s="190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>
      <c r="A559" s="24"/>
      <c r="B559" s="24"/>
      <c r="C559" s="24"/>
      <c r="D559" s="24"/>
      <c r="E559" s="190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>
      <c r="A560" s="24"/>
      <c r="B560" s="24"/>
      <c r="C560" s="24"/>
      <c r="D560" s="24"/>
      <c r="E560" s="190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>
      <c r="A561" s="24"/>
      <c r="B561" s="24"/>
      <c r="C561" s="24"/>
      <c r="D561" s="24"/>
      <c r="E561" s="190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>
      <c r="A562" s="24"/>
      <c r="B562" s="24"/>
      <c r="C562" s="24"/>
      <c r="D562" s="24"/>
      <c r="E562" s="190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>
      <c r="A563" s="24"/>
      <c r="B563" s="24"/>
      <c r="C563" s="24"/>
      <c r="D563" s="24"/>
      <c r="E563" s="190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>
      <c r="A564" s="24"/>
      <c r="B564" s="24"/>
      <c r="C564" s="24"/>
      <c r="D564" s="24"/>
      <c r="E564" s="190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>
      <c r="A565" s="24"/>
      <c r="B565" s="24"/>
      <c r="C565" s="24"/>
      <c r="D565" s="24"/>
      <c r="E565" s="190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>
      <c r="A566" s="24"/>
      <c r="B566" s="24"/>
      <c r="C566" s="24"/>
      <c r="D566" s="24"/>
      <c r="E566" s="190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>
      <c r="A567" s="24"/>
      <c r="B567" s="24"/>
      <c r="C567" s="24"/>
      <c r="D567" s="24"/>
      <c r="E567" s="190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>
      <c r="A568" s="24"/>
      <c r="B568" s="24"/>
      <c r="C568" s="24"/>
      <c r="D568" s="24"/>
      <c r="E568" s="190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>
      <c r="A569" s="24"/>
      <c r="B569" s="24"/>
      <c r="C569" s="24"/>
      <c r="D569" s="24"/>
      <c r="E569" s="190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>
      <c r="A570" s="24"/>
      <c r="B570" s="24"/>
      <c r="C570" s="24"/>
      <c r="D570" s="24"/>
      <c r="E570" s="190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>
      <c r="A571" s="24"/>
      <c r="B571" s="24"/>
      <c r="C571" s="24"/>
      <c r="D571" s="24"/>
      <c r="E571" s="190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>
      <c r="A572" s="24"/>
      <c r="B572" s="24"/>
      <c r="C572" s="24"/>
      <c r="D572" s="24"/>
      <c r="E572" s="190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>
      <c r="A573" s="24"/>
      <c r="B573" s="24"/>
      <c r="C573" s="24"/>
      <c r="D573" s="24"/>
      <c r="E573" s="190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>
      <c r="A574" s="24"/>
      <c r="B574" s="24"/>
      <c r="C574" s="24"/>
      <c r="D574" s="24"/>
      <c r="E574" s="190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>
      <c r="A575" s="24"/>
      <c r="B575" s="24"/>
      <c r="C575" s="24"/>
      <c r="D575" s="24"/>
      <c r="E575" s="190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>
      <c r="A576" s="24"/>
      <c r="B576" s="24"/>
      <c r="C576" s="24"/>
      <c r="D576" s="24"/>
      <c r="E576" s="190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>
      <c r="A577" s="24"/>
      <c r="B577" s="24"/>
      <c r="C577" s="24"/>
      <c r="D577" s="24"/>
      <c r="E577" s="190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>
      <c r="A578" s="24"/>
      <c r="B578" s="24"/>
      <c r="C578" s="24"/>
      <c r="D578" s="24"/>
      <c r="E578" s="190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>
      <c r="A579" s="24"/>
      <c r="B579" s="24"/>
      <c r="C579" s="24"/>
      <c r="D579" s="24"/>
      <c r="E579" s="190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>
      <c r="A580" s="24"/>
      <c r="B580" s="24"/>
      <c r="C580" s="24"/>
      <c r="D580" s="24"/>
      <c r="E580" s="190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>
      <c r="A581" s="24"/>
      <c r="B581" s="24"/>
      <c r="C581" s="24"/>
      <c r="D581" s="24"/>
      <c r="E581" s="190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>
      <c r="A582" s="24"/>
      <c r="B582" s="24"/>
      <c r="C582" s="24"/>
      <c r="D582" s="24"/>
      <c r="E582" s="190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>
      <c r="A583" s="24"/>
      <c r="B583" s="24"/>
      <c r="C583" s="24"/>
      <c r="D583" s="24"/>
      <c r="E583" s="190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>
      <c r="A584" s="24"/>
      <c r="B584" s="24"/>
      <c r="C584" s="24"/>
      <c r="D584" s="24"/>
      <c r="E584" s="190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>
      <c r="A585" s="24"/>
      <c r="B585" s="24"/>
      <c r="C585" s="24"/>
      <c r="D585" s="24"/>
      <c r="E585" s="190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>
      <c r="A586" s="24"/>
      <c r="B586" s="24"/>
      <c r="C586" s="24"/>
      <c r="D586" s="24"/>
      <c r="E586" s="190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>
      <c r="A587" s="24"/>
      <c r="B587" s="24"/>
      <c r="C587" s="24"/>
      <c r="D587" s="24"/>
      <c r="E587" s="190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>
      <c r="A588" s="24"/>
      <c r="B588" s="24"/>
      <c r="C588" s="24"/>
      <c r="D588" s="24"/>
      <c r="E588" s="190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>
      <c r="A589" s="24"/>
      <c r="B589" s="24"/>
      <c r="C589" s="24"/>
      <c r="D589" s="24"/>
      <c r="E589" s="190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>
      <c r="A590" s="24"/>
      <c r="B590" s="24"/>
      <c r="C590" s="24"/>
      <c r="D590" s="24"/>
      <c r="E590" s="190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>
      <c r="A591" s="24"/>
      <c r="B591" s="24"/>
      <c r="C591" s="24"/>
      <c r="D591" s="24"/>
      <c r="E591" s="190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>
      <c r="A592" s="24"/>
      <c r="B592" s="24"/>
      <c r="C592" s="24"/>
      <c r="D592" s="24"/>
      <c r="E592" s="190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>
      <c r="A593" s="24"/>
      <c r="B593" s="24"/>
      <c r="C593" s="24"/>
      <c r="D593" s="24"/>
      <c r="E593" s="190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>
      <c r="A594" s="24"/>
      <c r="B594" s="24"/>
      <c r="C594" s="24"/>
      <c r="D594" s="24"/>
      <c r="E594" s="190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>
      <c r="A595" s="24"/>
      <c r="B595" s="24"/>
      <c r="C595" s="24"/>
      <c r="D595" s="24"/>
      <c r="E595" s="190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>
      <c r="A596" s="24"/>
      <c r="B596" s="24"/>
      <c r="C596" s="24"/>
      <c r="D596" s="24"/>
      <c r="E596" s="190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>
      <c r="A597" s="24"/>
      <c r="B597" s="24"/>
      <c r="C597" s="24"/>
      <c r="D597" s="24"/>
      <c r="E597" s="190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>
      <c r="A598" s="24"/>
      <c r="B598" s="24"/>
      <c r="C598" s="24"/>
      <c r="D598" s="24"/>
      <c r="E598" s="190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>
      <c r="A599" s="24"/>
      <c r="B599" s="24"/>
      <c r="C599" s="24"/>
      <c r="D599" s="24"/>
      <c r="E599" s="190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>
      <c r="A600" s="24"/>
      <c r="B600" s="24"/>
      <c r="C600" s="24"/>
      <c r="D600" s="24"/>
      <c r="E600" s="190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>
      <c r="A601" s="24"/>
      <c r="B601" s="24"/>
      <c r="C601" s="24"/>
      <c r="D601" s="24"/>
      <c r="E601" s="190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>
      <c r="A602" s="24"/>
      <c r="B602" s="24"/>
      <c r="C602" s="24"/>
      <c r="D602" s="24"/>
      <c r="E602" s="190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>
      <c r="A603" s="24"/>
      <c r="B603" s="24"/>
      <c r="C603" s="24"/>
      <c r="D603" s="24"/>
      <c r="E603" s="190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>
      <c r="A604" s="24"/>
      <c r="B604" s="24"/>
      <c r="C604" s="24"/>
      <c r="D604" s="24"/>
      <c r="E604" s="190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>
      <c r="A605" s="24"/>
      <c r="B605" s="24"/>
      <c r="C605" s="24"/>
      <c r="D605" s="24"/>
      <c r="E605" s="190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>
      <c r="A606" s="24"/>
      <c r="B606" s="24"/>
      <c r="C606" s="24"/>
      <c r="D606" s="24"/>
      <c r="E606" s="190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>
      <c r="A607" s="24"/>
      <c r="B607" s="24"/>
      <c r="C607" s="24"/>
      <c r="D607" s="24"/>
      <c r="E607" s="190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>
      <c r="A608" s="24"/>
      <c r="B608" s="24"/>
      <c r="C608" s="24"/>
      <c r="D608" s="24"/>
      <c r="E608" s="190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>
      <c r="A609" s="24"/>
      <c r="B609" s="24"/>
      <c r="C609" s="24"/>
      <c r="D609" s="24"/>
      <c r="E609" s="190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>
      <c r="A610" s="24"/>
      <c r="B610" s="24"/>
      <c r="C610" s="24"/>
      <c r="D610" s="24"/>
      <c r="E610" s="190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>
      <c r="A611" s="24"/>
      <c r="B611" s="24"/>
      <c r="C611" s="24"/>
      <c r="D611" s="24"/>
      <c r="E611" s="190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>
      <c r="A612" s="24"/>
      <c r="B612" s="24"/>
      <c r="C612" s="24"/>
      <c r="D612" s="24"/>
      <c r="E612" s="190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>
      <c r="A613" s="24"/>
      <c r="B613" s="24"/>
      <c r="C613" s="24"/>
      <c r="D613" s="24"/>
      <c r="E613" s="190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>
      <c r="A614" s="24"/>
      <c r="B614" s="24"/>
      <c r="C614" s="24"/>
      <c r="D614" s="24"/>
      <c r="E614" s="190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>
      <c r="A615" s="24"/>
      <c r="B615" s="24"/>
      <c r="C615" s="24"/>
      <c r="D615" s="24"/>
      <c r="E615" s="190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>
      <c r="A616" s="24"/>
      <c r="B616" s="24"/>
      <c r="C616" s="24"/>
      <c r="D616" s="24"/>
      <c r="E616" s="190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>
      <c r="A617" s="24"/>
      <c r="B617" s="24"/>
      <c r="C617" s="24"/>
      <c r="D617" s="24"/>
      <c r="E617" s="190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>
      <c r="A618" s="24"/>
      <c r="B618" s="24"/>
      <c r="C618" s="24"/>
      <c r="D618" s="24"/>
      <c r="E618" s="190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>
      <c r="A619" s="24"/>
      <c r="B619" s="24"/>
      <c r="C619" s="24"/>
      <c r="D619" s="24"/>
      <c r="E619" s="190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>
      <c r="A620" s="24"/>
      <c r="B620" s="24"/>
      <c r="C620" s="24"/>
      <c r="D620" s="24"/>
      <c r="E620" s="190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>
      <c r="A621" s="24"/>
      <c r="B621" s="24"/>
      <c r="C621" s="24"/>
      <c r="D621" s="24"/>
      <c r="E621" s="190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>
      <c r="A622" s="24"/>
      <c r="B622" s="24"/>
      <c r="C622" s="24"/>
      <c r="D622" s="24"/>
      <c r="E622" s="190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>
      <c r="A623" s="24"/>
      <c r="B623" s="24"/>
      <c r="C623" s="24"/>
      <c r="D623" s="24"/>
      <c r="E623" s="190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>
      <c r="A624" s="24"/>
      <c r="B624" s="24"/>
      <c r="C624" s="24"/>
      <c r="D624" s="24"/>
      <c r="E624" s="190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>
      <c r="A625" s="24"/>
      <c r="B625" s="24"/>
      <c r="C625" s="24"/>
      <c r="D625" s="24"/>
      <c r="E625" s="190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>
      <c r="A626" s="24"/>
      <c r="B626" s="24"/>
      <c r="C626" s="24"/>
      <c r="D626" s="24"/>
      <c r="E626" s="190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>
      <c r="A627" s="24"/>
      <c r="B627" s="24"/>
      <c r="C627" s="24"/>
      <c r="D627" s="24"/>
      <c r="E627" s="190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>
      <c r="A628" s="24"/>
      <c r="B628" s="24"/>
      <c r="C628" s="24"/>
      <c r="D628" s="24"/>
      <c r="E628" s="190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>
      <c r="A629" s="24"/>
      <c r="B629" s="24"/>
      <c r="C629" s="24"/>
      <c r="D629" s="24"/>
      <c r="E629" s="190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>
      <c r="A630" s="24"/>
      <c r="B630" s="24"/>
      <c r="C630" s="24"/>
      <c r="D630" s="24"/>
      <c r="E630" s="190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>
      <c r="A631" s="24"/>
      <c r="B631" s="24"/>
      <c r="C631" s="24"/>
      <c r="D631" s="24"/>
      <c r="E631" s="190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>
      <c r="A632" s="24"/>
      <c r="B632" s="24"/>
      <c r="C632" s="24"/>
      <c r="D632" s="24"/>
      <c r="E632" s="190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>
      <c r="A633" s="24"/>
      <c r="B633" s="24"/>
      <c r="C633" s="24"/>
      <c r="D633" s="24"/>
      <c r="E633" s="190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>
      <c r="A634" s="24"/>
      <c r="B634" s="24"/>
      <c r="C634" s="24"/>
      <c r="D634" s="24"/>
      <c r="E634" s="190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>
      <c r="A635" s="24"/>
      <c r="B635" s="24"/>
      <c r="C635" s="24"/>
      <c r="D635" s="24"/>
      <c r="E635" s="190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>
      <c r="A636" s="24"/>
      <c r="B636" s="24"/>
      <c r="C636" s="24"/>
      <c r="D636" s="24"/>
      <c r="E636" s="190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>
      <c r="A637" s="24"/>
      <c r="B637" s="24"/>
      <c r="C637" s="24"/>
      <c r="D637" s="24"/>
      <c r="E637" s="190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>
      <c r="A638" s="24"/>
      <c r="B638" s="24"/>
      <c r="C638" s="24"/>
      <c r="D638" s="24"/>
      <c r="E638" s="190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>
      <c r="A639" s="24"/>
      <c r="B639" s="24"/>
      <c r="C639" s="24"/>
      <c r="D639" s="24"/>
      <c r="E639" s="190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>
      <c r="A640" s="24"/>
      <c r="B640" s="24"/>
      <c r="C640" s="24"/>
      <c r="D640" s="24"/>
      <c r="E640" s="190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>
      <c r="A641" s="24"/>
      <c r="B641" s="24"/>
      <c r="C641" s="24"/>
      <c r="D641" s="24"/>
      <c r="E641" s="190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>
      <c r="A642" s="24"/>
      <c r="B642" s="24"/>
      <c r="C642" s="24"/>
      <c r="D642" s="24"/>
      <c r="E642" s="190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>
      <c r="A643" s="24"/>
      <c r="B643" s="24"/>
      <c r="C643" s="24"/>
      <c r="D643" s="24"/>
      <c r="E643" s="190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>
      <c r="A644" s="24"/>
      <c r="B644" s="24"/>
      <c r="C644" s="24"/>
      <c r="D644" s="24"/>
      <c r="E644" s="190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>
      <c r="A645" s="24"/>
      <c r="B645" s="24"/>
      <c r="C645" s="24"/>
      <c r="D645" s="24"/>
      <c r="E645" s="190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>
      <c r="A646" s="24"/>
      <c r="B646" s="24"/>
      <c r="C646" s="24"/>
      <c r="D646" s="24"/>
      <c r="E646" s="190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>
      <c r="A647" s="24"/>
      <c r="B647" s="24"/>
      <c r="C647" s="24"/>
      <c r="D647" s="24"/>
      <c r="E647" s="190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>
      <c r="A648" s="24"/>
      <c r="B648" s="24"/>
      <c r="C648" s="24"/>
      <c r="D648" s="24"/>
      <c r="E648" s="190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>
      <c r="A649" s="24"/>
      <c r="B649" s="24"/>
      <c r="C649" s="24"/>
      <c r="D649" s="24"/>
      <c r="E649" s="190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>
      <c r="A650" s="24"/>
      <c r="B650" s="24"/>
      <c r="C650" s="24"/>
      <c r="D650" s="24"/>
      <c r="E650" s="190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>
      <c r="A651" s="24"/>
      <c r="B651" s="24"/>
      <c r="C651" s="24"/>
      <c r="D651" s="24"/>
      <c r="E651" s="190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>
      <c r="A652" s="24"/>
      <c r="B652" s="24"/>
      <c r="C652" s="24"/>
      <c r="D652" s="24"/>
      <c r="E652" s="190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>
      <c r="A653" s="24"/>
      <c r="B653" s="24"/>
      <c r="C653" s="24"/>
      <c r="D653" s="24"/>
      <c r="E653" s="190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>
      <c r="A654" s="24"/>
      <c r="B654" s="24"/>
      <c r="C654" s="24"/>
      <c r="D654" s="24"/>
      <c r="E654" s="190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>
      <c r="A655" s="24"/>
      <c r="B655" s="24"/>
      <c r="C655" s="24"/>
      <c r="D655" s="24"/>
      <c r="E655" s="190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>
      <c r="A656" s="24"/>
      <c r="B656" s="24"/>
      <c r="C656" s="24"/>
      <c r="D656" s="24"/>
      <c r="E656" s="190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>
      <c r="A657" s="24"/>
      <c r="B657" s="24"/>
      <c r="C657" s="24"/>
      <c r="D657" s="24"/>
      <c r="E657" s="190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>
      <c r="A658" s="24"/>
      <c r="B658" s="24"/>
      <c r="C658" s="24"/>
      <c r="D658" s="24"/>
      <c r="E658" s="190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>
      <c r="A659" s="24"/>
      <c r="B659" s="24"/>
      <c r="C659" s="24"/>
      <c r="D659" s="24"/>
      <c r="E659" s="190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>
      <c r="A660" s="24"/>
      <c r="B660" s="24"/>
      <c r="C660" s="24"/>
      <c r="D660" s="24"/>
      <c r="E660" s="190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>
      <c r="A661" s="24"/>
      <c r="B661" s="24"/>
      <c r="C661" s="24"/>
      <c r="D661" s="24"/>
      <c r="E661" s="190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>
      <c r="A662" s="24"/>
      <c r="B662" s="24"/>
      <c r="C662" s="24"/>
      <c r="D662" s="24"/>
      <c r="E662" s="190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>
      <c r="A663" s="24"/>
      <c r="B663" s="24"/>
      <c r="C663" s="24"/>
      <c r="D663" s="24"/>
      <c r="E663" s="190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>
      <c r="A664" s="24"/>
      <c r="B664" s="24"/>
      <c r="C664" s="24"/>
      <c r="D664" s="24"/>
      <c r="E664" s="190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>
      <c r="A665" s="24"/>
      <c r="B665" s="24"/>
      <c r="C665" s="24"/>
      <c r="D665" s="24"/>
      <c r="E665" s="190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>
      <c r="A666" s="24"/>
      <c r="B666" s="24"/>
      <c r="C666" s="24"/>
      <c r="D666" s="24"/>
      <c r="E666" s="190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>
      <c r="A667" s="24"/>
      <c r="B667" s="24"/>
      <c r="C667" s="24"/>
      <c r="D667" s="24"/>
      <c r="E667" s="190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>
      <c r="A668" s="24"/>
      <c r="B668" s="24"/>
      <c r="C668" s="24"/>
      <c r="D668" s="24"/>
      <c r="E668" s="190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>
      <c r="A669" s="24"/>
      <c r="B669" s="24"/>
      <c r="C669" s="24"/>
      <c r="D669" s="24"/>
      <c r="E669" s="190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>
      <c r="A670" s="24"/>
      <c r="B670" s="24"/>
      <c r="C670" s="24"/>
      <c r="D670" s="24"/>
      <c r="E670" s="190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>
      <c r="A671" s="24"/>
      <c r="B671" s="24"/>
      <c r="C671" s="24"/>
      <c r="D671" s="24"/>
      <c r="E671" s="190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>
      <c r="A672" s="24"/>
      <c r="B672" s="24"/>
      <c r="C672" s="24"/>
      <c r="D672" s="24"/>
      <c r="E672" s="190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>
      <c r="A673" s="24"/>
      <c r="B673" s="24"/>
      <c r="C673" s="24"/>
      <c r="D673" s="24"/>
      <c r="E673" s="190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>
      <c r="A674" s="24"/>
      <c r="B674" s="24"/>
      <c r="C674" s="24"/>
      <c r="D674" s="24"/>
      <c r="E674" s="190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>
      <c r="A675" s="24"/>
      <c r="B675" s="24"/>
      <c r="C675" s="24"/>
      <c r="D675" s="24"/>
      <c r="E675" s="190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>
      <c r="A676" s="24"/>
      <c r="B676" s="24"/>
      <c r="C676" s="24"/>
      <c r="D676" s="24"/>
      <c r="E676" s="190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>
      <c r="A677" s="24"/>
      <c r="B677" s="24"/>
      <c r="C677" s="24"/>
      <c r="D677" s="24"/>
      <c r="E677" s="190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>
      <c r="A678" s="24"/>
      <c r="B678" s="24"/>
      <c r="C678" s="24"/>
      <c r="D678" s="24"/>
      <c r="E678" s="190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>
      <c r="A679" s="24"/>
      <c r="B679" s="24"/>
      <c r="C679" s="24"/>
      <c r="D679" s="24"/>
      <c r="E679" s="190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>
      <c r="A680" s="24"/>
      <c r="B680" s="24"/>
      <c r="C680" s="24"/>
      <c r="D680" s="24"/>
      <c r="E680" s="190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>
      <c r="A681" s="24"/>
      <c r="B681" s="24"/>
      <c r="C681" s="24"/>
      <c r="D681" s="24"/>
      <c r="E681" s="190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>
      <c r="A682" s="24"/>
      <c r="B682" s="24"/>
      <c r="C682" s="24"/>
      <c r="D682" s="24"/>
      <c r="E682" s="190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>
      <c r="A683" s="24"/>
      <c r="B683" s="24"/>
      <c r="C683" s="24"/>
      <c r="D683" s="24"/>
      <c r="E683" s="190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>
      <c r="A684" s="24"/>
      <c r="B684" s="24"/>
      <c r="C684" s="24"/>
      <c r="D684" s="24"/>
      <c r="E684" s="190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>
      <c r="A685" s="24"/>
      <c r="B685" s="24"/>
      <c r="C685" s="24"/>
      <c r="D685" s="24"/>
      <c r="E685" s="190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>
      <c r="A686" s="24"/>
      <c r="B686" s="24"/>
      <c r="C686" s="24"/>
      <c r="D686" s="24"/>
      <c r="E686" s="190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>
      <c r="A687" s="24"/>
      <c r="B687" s="24"/>
      <c r="C687" s="24"/>
      <c r="D687" s="24"/>
      <c r="E687" s="190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>
      <c r="A688" s="24"/>
      <c r="B688" s="24"/>
      <c r="C688" s="24"/>
      <c r="D688" s="24"/>
      <c r="E688" s="190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>
      <c r="A689" s="24"/>
      <c r="B689" s="24"/>
      <c r="C689" s="24"/>
      <c r="D689" s="24"/>
      <c r="E689" s="190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>
      <c r="A690" s="24"/>
      <c r="B690" s="24"/>
      <c r="C690" s="24"/>
      <c r="D690" s="24"/>
      <c r="E690" s="190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>
      <c r="A691" s="24"/>
      <c r="B691" s="24"/>
      <c r="C691" s="24"/>
      <c r="D691" s="24"/>
      <c r="E691" s="190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>
      <c r="A692" s="24"/>
      <c r="B692" s="24"/>
      <c r="C692" s="24"/>
      <c r="D692" s="24"/>
      <c r="E692" s="190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>
      <c r="A693" s="24"/>
      <c r="B693" s="24"/>
      <c r="C693" s="24"/>
      <c r="D693" s="24"/>
      <c r="E693" s="190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>
      <c r="A694" s="24"/>
      <c r="B694" s="24"/>
      <c r="C694" s="24"/>
      <c r="D694" s="24"/>
      <c r="E694" s="190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>
      <c r="A695" s="24"/>
      <c r="B695" s="24"/>
      <c r="C695" s="24"/>
      <c r="D695" s="24"/>
      <c r="E695" s="190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>
      <c r="A696" s="24"/>
      <c r="B696" s="24"/>
      <c r="C696" s="24"/>
      <c r="D696" s="24"/>
      <c r="E696" s="190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>
      <c r="A697" s="24"/>
      <c r="B697" s="24"/>
      <c r="C697" s="24"/>
      <c r="D697" s="24"/>
      <c r="E697" s="190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>
      <c r="A698" s="24"/>
      <c r="B698" s="24"/>
      <c r="C698" s="24"/>
      <c r="D698" s="24"/>
      <c r="E698" s="190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>
      <c r="A699" s="24"/>
      <c r="B699" s="24"/>
      <c r="C699" s="24"/>
      <c r="D699" s="24"/>
      <c r="E699" s="190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>
      <c r="A700" s="24"/>
      <c r="B700" s="24"/>
      <c r="C700" s="24"/>
      <c r="D700" s="24"/>
      <c r="E700" s="190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>
      <c r="A701" s="24"/>
      <c r="B701" s="24"/>
      <c r="C701" s="24"/>
      <c r="D701" s="24"/>
      <c r="E701" s="190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>
      <c r="A702" s="24"/>
      <c r="B702" s="24"/>
      <c r="C702" s="24"/>
      <c r="D702" s="24"/>
      <c r="E702" s="190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>
      <c r="A703" s="24"/>
      <c r="B703" s="24"/>
      <c r="C703" s="24"/>
      <c r="D703" s="24"/>
      <c r="E703" s="190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>
      <c r="A704" s="24"/>
      <c r="B704" s="24"/>
      <c r="C704" s="24"/>
      <c r="D704" s="24"/>
      <c r="E704" s="190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>
      <c r="A705" s="24"/>
      <c r="B705" s="24"/>
      <c r="C705" s="24"/>
      <c r="D705" s="24"/>
      <c r="E705" s="190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>
      <c r="A706" s="24"/>
      <c r="B706" s="24"/>
      <c r="C706" s="24"/>
      <c r="D706" s="24"/>
      <c r="E706" s="190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>
      <c r="A707" s="24"/>
      <c r="B707" s="24"/>
      <c r="C707" s="24"/>
      <c r="D707" s="24"/>
      <c r="E707" s="190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>
      <c r="A708" s="24"/>
      <c r="B708" s="24"/>
      <c r="C708" s="24"/>
      <c r="D708" s="24"/>
      <c r="E708" s="190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>
      <c r="A709" s="24"/>
      <c r="B709" s="24"/>
      <c r="C709" s="24"/>
      <c r="D709" s="24"/>
      <c r="E709" s="190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>
      <c r="A710" s="24"/>
      <c r="B710" s="24"/>
      <c r="C710" s="24"/>
      <c r="D710" s="24"/>
      <c r="E710" s="190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>
      <c r="A711" s="24"/>
      <c r="B711" s="24"/>
      <c r="C711" s="24"/>
      <c r="D711" s="24"/>
      <c r="E711" s="190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>
      <c r="A712" s="24"/>
      <c r="B712" s="24"/>
      <c r="C712" s="24"/>
      <c r="D712" s="24"/>
      <c r="E712" s="190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>
      <c r="A713" s="24"/>
      <c r="B713" s="24"/>
      <c r="C713" s="24"/>
      <c r="D713" s="24"/>
      <c r="E713" s="190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>
      <c r="A714" s="24"/>
      <c r="B714" s="24"/>
      <c r="C714" s="24"/>
      <c r="D714" s="24"/>
      <c r="E714" s="190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>
      <c r="A715" s="24"/>
      <c r="B715" s="24"/>
      <c r="C715" s="24"/>
      <c r="D715" s="24"/>
      <c r="E715" s="190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>
      <c r="A716" s="24"/>
      <c r="B716" s="24"/>
      <c r="C716" s="24"/>
      <c r="D716" s="24"/>
      <c r="E716" s="190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>
      <c r="A717" s="24"/>
      <c r="B717" s="24"/>
      <c r="C717" s="24"/>
      <c r="D717" s="24"/>
      <c r="E717" s="190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>
      <c r="A718" s="24"/>
      <c r="B718" s="24"/>
      <c r="C718" s="24"/>
      <c r="D718" s="24"/>
      <c r="E718" s="190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>
      <c r="A719" s="24"/>
      <c r="B719" s="24"/>
      <c r="C719" s="24"/>
      <c r="D719" s="24"/>
      <c r="E719" s="190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>
      <c r="A720" s="24"/>
      <c r="B720" s="24"/>
      <c r="C720" s="24"/>
      <c r="D720" s="24"/>
      <c r="E720" s="190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>
      <c r="A721" s="24"/>
      <c r="B721" s="24"/>
      <c r="C721" s="24"/>
      <c r="D721" s="24"/>
      <c r="E721" s="190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>
      <c r="A722" s="24"/>
      <c r="B722" s="24"/>
      <c r="C722" s="24"/>
      <c r="D722" s="24"/>
      <c r="E722" s="190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>
      <c r="A723" s="24"/>
      <c r="B723" s="24"/>
      <c r="C723" s="24"/>
      <c r="D723" s="24"/>
      <c r="E723" s="190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>
      <c r="A724" s="24"/>
      <c r="B724" s="24"/>
      <c r="C724" s="24"/>
      <c r="D724" s="24"/>
      <c r="E724" s="190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>
      <c r="A725" s="24"/>
      <c r="B725" s="24"/>
      <c r="C725" s="24"/>
      <c r="D725" s="24"/>
      <c r="E725" s="190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>
      <c r="A726" s="24"/>
      <c r="B726" s="24"/>
      <c r="C726" s="24"/>
      <c r="D726" s="24"/>
      <c r="E726" s="190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>
      <c r="A727" s="24"/>
      <c r="B727" s="24"/>
      <c r="C727" s="24"/>
      <c r="D727" s="24"/>
      <c r="E727" s="190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>
      <c r="A728" s="24"/>
      <c r="B728" s="24"/>
      <c r="C728" s="24"/>
      <c r="D728" s="24"/>
      <c r="E728" s="190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>
      <c r="A729" s="24"/>
      <c r="B729" s="24"/>
      <c r="C729" s="24"/>
      <c r="D729" s="24"/>
      <c r="E729" s="190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>
      <c r="A730" s="24"/>
      <c r="B730" s="24"/>
      <c r="C730" s="24"/>
      <c r="D730" s="24"/>
      <c r="E730" s="190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>
      <c r="A731" s="24"/>
      <c r="B731" s="24"/>
      <c r="C731" s="24"/>
      <c r="D731" s="24"/>
      <c r="E731" s="190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>
      <c r="A732" s="24"/>
      <c r="B732" s="24"/>
      <c r="C732" s="24"/>
      <c r="D732" s="24"/>
      <c r="E732" s="190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>
      <c r="A733" s="24"/>
      <c r="B733" s="24"/>
      <c r="C733" s="24"/>
      <c r="D733" s="24"/>
      <c r="E733" s="190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>
      <c r="A734" s="24"/>
      <c r="B734" s="24"/>
      <c r="C734" s="24"/>
      <c r="D734" s="24"/>
      <c r="E734" s="190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>
      <c r="A735" s="24"/>
      <c r="B735" s="24"/>
      <c r="C735" s="24"/>
      <c r="D735" s="24"/>
      <c r="E735" s="190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>
      <c r="A736" s="24"/>
      <c r="B736" s="24"/>
      <c r="C736" s="24"/>
      <c r="D736" s="24"/>
      <c r="E736" s="190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>
      <c r="A737" s="24"/>
      <c r="B737" s="24"/>
      <c r="C737" s="24"/>
      <c r="D737" s="24"/>
      <c r="E737" s="190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>
      <c r="A738" s="24"/>
      <c r="B738" s="24"/>
      <c r="C738" s="24"/>
      <c r="D738" s="24"/>
      <c r="E738" s="190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>
      <c r="A739" s="24"/>
      <c r="B739" s="24"/>
      <c r="C739" s="24"/>
      <c r="D739" s="24"/>
      <c r="E739" s="190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>
      <c r="A740" s="24"/>
      <c r="B740" s="24"/>
      <c r="C740" s="24"/>
      <c r="D740" s="24"/>
      <c r="E740" s="190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>
      <c r="A741" s="24"/>
      <c r="B741" s="24"/>
      <c r="C741" s="24"/>
      <c r="D741" s="24"/>
      <c r="E741" s="190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>
      <c r="A742" s="24"/>
      <c r="B742" s="24"/>
      <c r="C742" s="24"/>
      <c r="D742" s="24"/>
      <c r="E742" s="190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>
      <c r="A743" s="24"/>
      <c r="B743" s="24"/>
      <c r="C743" s="24"/>
      <c r="D743" s="24"/>
      <c r="E743" s="190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>
      <c r="A744" s="24"/>
      <c r="B744" s="24"/>
      <c r="C744" s="24"/>
      <c r="D744" s="24"/>
      <c r="E744" s="190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>
      <c r="A745" s="24"/>
      <c r="B745" s="24"/>
      <c r="C745" s="24"/>
      <c r="D745" s="24"/>
      <c r="E745" s="190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>
      <c r="A746" s="24"/>
      <c r="B746" s="24"/>
      <c r="C746" s="24"/>
      <c r="D746" s="24"/>
      <c r="E746" s="190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>
      <c r="A747" s="24"/>
      <c r="B747" s="24"/>
      <c r="C747" s="24"/>
      <c r="D747" s="24"/>
      <c r="E747" s="190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>
      <c r="A748" s="24"/>
      <c r="B748" s="24"/>
      <c r="C748" s="24"/>
      <c r="D748" s="24"/>
      <c r="E748" s="190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>
      <c r="A749" s="24"/>
      <c r="B749" s="24"/>
      <c r="C749" s="24"/>
      <c r="D749" s="24"/>
      <c r="E749" s="190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>
      <c r="A750" s="24"/>
      <c r="B750" s="24"/>
      <c r="C750" s="24"/>
      <c r="D750" s="24"/>
      <c r="E750" s="190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>
      <c r="A751" s="24"/>
      <c r="B751" s="24"/>
      <c r="C751" s="24"/>
      <c r="D751" s="24"/>
      <c r="E751" s="190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>
      <c r="A752" s="24"/>
      <c r="B752" s="24"/>
      <c r="C752" s="24"/>
      <c r="D752" s="24"/>
      <c r="E752" s="190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>
      <c r="A753" s="24"/>
      <c r="B753" s="24"/>
      <c r="C753" s="24"/>
      <c r="D753" s="24"/>
      <c r="E753" s="190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>
      <c r="A754" s="24"/>
      <c r="B754" s="24"/>
      <c r="C754" s="24"/>
      <c r="D754" s="24"/>
      <c r="E754" s="190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>
      <c r="A755" s="24"/>
      <c r="B755" s="24"/>
      <c r="C755" s="24"/>
      <c r="D755" s="24"/>
      <c r="E755" s="190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>
      <c r="A756" s="24"/>
      <c r="B756" s="24"/>
      <c r="C756" s="24"/>
      <c r="D756" s="24"/>
      <c r="E756" s="190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>
      <c r="A757" s="24"/>
      <c r="B757" s="24"/>
      <c r="C757" s="24"/>
      <c r="D757" s="24"/>
      <c r="E757" s="190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>
      <c r="A758" s="24"/>
      <c r="B758" s="24"/>
      <c r="C758" s="24"/>
      <c r="D758" s="24"/>
      <c r="E758" s="190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>
      <c r="A759" s="24"/>
      <c r="B759" s="24"/>
      <c r="C759" s="24"/>
      <c r="D759" s="24"/>
      <c r="E759" s="190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>
      <c r="A760" s="24"/>
      <c r="B760" s="24"/>
      <c r="C760" s="24"/>
      <c r="D760" s="24"/>
      <c r="E760" s="190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>
      <c r="A761" s="24"/>
      <c r="B761" s="24"/>
      <c r="C761" s="24"/>
      <c r="D761" s="24"/>
      <c r="E761" s="190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>
      <c r="A762" s="24"/>
      <c r="B762" s="24"/>
      <c r="C762" s="24"/>
      <c r="D762" s="24"/>
      <c r="E762" s="190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>
      <c r="A763" s="24"/>
      <c r="B763" s="24"/>
      <c r="C763" s="24"/>
      <c r="D763" s="24"/>
      <c r="E763" s="190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>
      <c r="A764" s="24"/>
      <c r="B764" s="24"/>
      <c r="C764" s="24"/>
      <c r="D764" s="24"/>
      <c r="E764" s="190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>
      <c r="A765" s="24"/>
      <c r="B765" s="24"/>
      <c r="C765" s="24"/>
      <c r="D765" s="24"/>
      <c r="E765" s="190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>
      <c r="A766" s="24"/>
      <c r="B766" s="24"/>
      <c r="C766" s="24"/>
      <c r="D766" s="24"/>
      <c r="E766" s="190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>
      <c r="A767" s="24"/>
      <c r="B767" s="24"/>
      <c r="C767" s="24"/>
      <c r="D767" s="24"/>
      <c r="E767" s="190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>
      <c r="A768" s="24"/>
      <c r="B768" s="24"/>
      <c r="C768" s="24"/>
      <c r="D768" s="24"/>
      <c r="E768" s="190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>
      <c r="A769" s="24"/>
      <c r="B769" s="24"/>
      <c r="C769" s="24"/>
      <c r="D769" s="24"/>
      <c r="E769" s="190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>
      <c r="A770" s="24"/>
      <c r="B770" s="24"/>
      <c r="C770" s="24"/>
      <c r="D770" s="24"/>
      <c r="E770" s="190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>
      <c r="A771" s="24"/>
      <c r="B771" s="24"/>
      <c r="C771" s="24"/>
      <c r="D771" s="24"/>
      <c r="E771" s="190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>
      <c r="A772" s="24"/>
      <c r="B772" s="24"/>
      <c r="C772" s="24"/>
      <c r="D772" s="24"/>
      <c r="E772" s="190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>
      <c r="A773" s="24"/>
      <c r="B773" s="24"/>
      <c r="C773" s="24"/>
      <c r="D773" s="24"/>
      <c r="E773" s="190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>
      <c r="A774" s="24"/>
      <c r="B774" s="24"/>
      <c r="C774" s="24"/>
      <c r="D774" s="24"/>
      <c r="E774" s="190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>
      <c r="A775" s="24"/>
      <c r="B775" s="24"/>
      <c r="C775" s="24"/>
      <c r="D775" s="24"/>
      <c r="E775" s="190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>
      <c r="A776" s="24"/>
      <c r="B776" s="24"/>
      <c r="C776" s="24"/>
      <c r="D776" s="24"/>
      <c r="E776" s="190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>
      <c r="A777" s="24"/>
      <c r="B777" s="24"/>
      <c r="C777" s="24"/>
      <c r="D777" s="24"/>
      <c r="E777" s="190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>
      <c r="A778" s="24"/>
      <c r="B778" s="24"/>
      <c r="C778" s="24"/>
      <c r="D778" s="24"/>
      <c r="E778" s="190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>
      <c r="A779" s="24"/>
      <c r="B779" s="24"/>
      <c r="C779" s="24"/>
      <c r="D779" s="24"/>
      <c r="E779" s="190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>
      <c r="A780" s="24"/>
      <c r="B780" s="24"/>
      <c r="C780" s="24"/>
      <c r="D780" s="24"/>
      <c r="E780" s="190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>
      <c r="A781" s="24"/>
      <c r="B781" s="24"/>
      <c r="C781" s="24"/>
      <c r="D781" s="24"/>
      <c r="E781" s="190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>
      <c r="A782" s="24"/>
      <c r="B782" s="24"/>
      <c r="C782" s="24"/>
      <c r="D782" s="24"/>
      <c r="E782" s="190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>
      <c r="A783" s="24"/>
      <c r="B783" s="24"/>
      <c r="C783" s="24"/>
      <c r="D783" s="24"/>
      <c r="E783" s="190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>
      <c r="A784" s="24"/>
      <c r="B784" s="24"/>
      <c r="C784" s="24"/>
      <c r="D784" s="24"/>
      <c r="E784" s="190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>
      <c r="A785" s="24"/>
      <c r="B785" s="24"/>
      <c r="C785" s="24"/>
      <c r="D785" s="24"/>
      <c r="E785" s="190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>
      <c r="A786" s="24"/>
      <c r="B786" s="24"/>
      <c r="C786" s="24"/>
      <c r="D786" s="24"/>
      <c r="E786" s="190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>
      <c r="A787" s="24"/>
      <c r="B787" s="24"/>
      <c r="C787" s="24"/>
      <c r="D787" s="24"/>
      <c r="E787" s="190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>
      <c r="A788" s="24"/>
      <c r="B788" s="24"/>
      <c r="C788" s="24"/>
      <c r="D788" s="24"/>
      <c r="E788" s="190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>
      <c r="A789" s="24"/>
      <c r="B789" s="24"/>
      <c r="C789" s="24"/>
      <c r="D789" s="24"/>
      <c r="E789" s="190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>
      <c r="A790" s="24"/>
      <c r="B790" s="24"/>
      <c r="C790" s="24"/>
      <c r="D790" s="24"/>
      <c r="E790" s="190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>
      <c r="A791" s="24"/>
      <c r="B791" s="24"/>
      <c r="C791" s="24"/>
      <c r="D791" s="24"/>
      <c r="E791" s="190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>
      <c r="A792" s="24"/>
      <c r="B792" s="24"/>
      <c r="C792" s="24"/>
      <c r="D792" s="24"/>
      <c r="E792" s="190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>
      <c r="A793" s="24"/>
      <c r="B793" s="24"/>
      <c r="C793" s="24"/>
      <c r="D793" s="24"/>
      <c r="E793" s="190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>
      <c r="A794" s="24"/>
      <c r="B794" s="24"/>
      <c r="C794" s="24"/>
      <c r="D794" s="24"/>
      <c r="E794" s="190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>
      <c r="A795" s="24"/>
      <c r="B795" s="24"/>
      <c r="C795" s="24"/>
      <c r="D795" s="24"/>
      <c r="E795" s="190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>
      <c r="A796" s="24"/>
      <c r="B796" s="24"/>
      <c r="C796" s="24"/>
      <c r="D796" s="24"/>
      <c r="E796" s="190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>
      <c r="A797" s="24"/>
      <c r="B797" s="24"/>
      <c r="C797" s="24"/>
      <c r="D797" s="24"/>
      <c r="E797" s="190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>
      <c r="A798" s="24"/>
      <c r="B798" s="24"/>
      <c r="C798" s="24"/>
      <c r="D798" s="24"/>
      <c r="E798" s="190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>
      <c r="A799" s="24"/>
      <c r="B799" s="24"/>
      <c r="C799" s="24"/>
      <c r="D799" s="24"/>
      <c r="E799" s="190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>
      <c r="A800" s="24"/>
      <c r="B800" s="24"/>
      <c r="C800" s="24"/>
      <c r="D800" s="24"/>
      <c r="E800" s="190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>
      <c r="A801" s="24"/>
      <c r="B801" s="24"/>
      <c r="C801" s="24"/>
      <c r="D801" s="24"/>
      <c r="E801" s="190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>
      <c r="A802" s="24"/>
      <c r="B802" s="24"/>
      <c r="C802" s="24"/>
      <c r="D802" s="24"/>
      <c r="E802" s="190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>
      <c r="A803" s="24"/>
      <c r="B803" s="24"/>
      <c r="C803" s="24"/>
      <c r="D803" s="24"/>
      <c r="E803" s="190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>
      <c r="A804" s="24"/>
      <c r="B804" s="24"/>
      <c r="C804" s="24"/>
      <c r="D804" s="24"/>
      <c r="E804" s="190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>
      <c r="A805" s="24"/>
      <c r="B805" s="24"/>
      <c r="C805" s="24"/>
      <c r="D805" s="24"/>
      <c r="E805" s="190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>
      <c r="A806" s="24"/>
      <c r="B806" s="24"/>
      <c r="C806" s="24"/>
      <c r="D806" s="24"/>
      <c r="E806" s="190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>
      <c r="A807" s="24"/>
      <c r="B807" s="24"/>
      <c r="C807" s="24"/>
      <c r="D807" s="24"/>
      <c r="E807" s="190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>
      <c r="A808" s="24"/>
      <c r="B808" s="24"/>
      <c r="C808" s="24"/>
      <c r="D808" s="24"/>
      <c r="E808" s="190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>
      <c r="A809" s="24"/>
      <c r="B809" s="24"/>
      <c r="C809" s="24"/>
      <c r="D809" s="24"/>
      <c r="E809" s="190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>
      <c r="A810" s="24"/>
      <c r="B810" s="24"/>
      <c r="C810" s="24"/>
      <c r="D810" s="24"/>
      <c r="E810" s="190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>
      <c r="A811" s="24"/>
      <c r="B811" s="24"/>
      <c r="C811" s="24"/>
      <c r="D811" s="24"/>
      <c r="E811" s="190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>
      <c r="A812" s="24"/>
      <c r="B812" s="24"/>
      <c r="C812" s="24"/>
      <c r="D812" s="24"/>
      <c r="E812" s="190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>
      <c r="A813" s="24"/>
      <c r="B813" s="24"/>
      <c r="C813" s="24"/>
      <c r="D813" s="24"/>
      <c r="E813" s="190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</sheetData>
  <mergeCells count="1">
    <mergeCell ref="B5:G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90.38"/>
    <col customWidth="1" min="3" max="3" width="20.38"/>
    <col customWidth="1" min="4" max="4" width="17.38"/>
    <col customWidth="1" min="5" max="5" width="8.63"/>
    <col customWidth="1" min="6" max="6" width="16.88"/>
    <col customWidth="1" min="7" max="7" width="15.13"/>
    <col customWidth="1" min="8" max="9" width="15.5"/>
  </cols>
  <sheetData>
    <row r="1">
      <c r="A1" s="1"/>
      <c r="B1" s="9" t="s">
        <v>2</v>
      </c>
      <c r="C1" s="12"/>
      <c r="D1" s="15"/>
      <c r="E1" s="15"/>
      <c r="F1" s="15"/>
      <c r="G1" s="15"/>
      <c r="H1" s="15"/>
      <c r="I1" s="15"/>
    </row>
    <row r="2">
      <c r="A2" s="23"/>
      <c r="B2" s="26" t="s">
        <v>8</v>
      </c>
      <c r="C2" s="28" t="s">
        <v>10</v>
      </c>
      <c r="D2" s="28" t="s">
        <v>11</v>
      </c>
      <c r="E2" s="26" t="s">
        <v>12</v>
      </c>
      <c r="F2" s="28" t="s">
        <v>13</v>
      </c>
      <c r="G2" s="26" t="s">
        <v>14</v>
      </c>
      <c r="H2" s="26" t="s">
        <v>15</v>
      </c>
      <c r="I2" s="26" t="s">
        <v>16</v>
      </c>
      <c r="J2" s="33"/>
      <c r="K2" s="33"/>
    </row>
    <row r="3" ht="36.0" customHeight="1">
      <c r="A3" s="36">
        <v>1.0</v>
      </c>
      <c r="B3" s="38" t="s">
        <v>18</v>
      </c>
      <c r="C3" s="47" t="s">
        <v>29</v>
      </c>
      <c r="D3" s="50" t="s">
        <v>33</v>
      </c>
      <c r="E3" s="47"/>
      <c r="F3" s="50" t="s">
        <v>36</v>
      </c>
      <c r="G3" s="54"/>
      <c r="H3" s="47"/>
      <c r="I3" s="57"/>
      <c r="J3" s="33"/>
      <c r="K3" s="33"/>
    </row>
    <row r="4" ht="36.0" customHeight="1">
      <c r="A4" s="36">
        <v>2.0</v>
      </c>
      <c r="B4" s="38" t="s">
        <v>38</v>
      </c>
      <c r="C4" s="47" t="s">
        <v>33</v>
      </c>
      <c r="D4" s="50" t="s">
        <v>33</v>
      </c>
      <c r="E4" s="47"/>
      <c r="F4" s="50" t="s">
        <v>40</v>
      </c>
      <c r="G4" s="54"/>
      <c r="H4" s="47"/>
      <c r="I4" s="57" t="s">
        <v>41</v>
      </c>
      <c r="J4" s="33"/>
      <c r="K4" s="33"/>
    </row>
    <row r="5" ht="36.0" customHeight="1">
      <c r="A5" s="36">
        <v>3.0</v>
      </c>
      <c r="B5" s="55" t="s">
        <v>42</v>
      </c>
      <c r="C5" s="47" t="s">
        <v>43</v>
      </c>
      <c r="D5" s="50" t="s">
        <v>43</v>
      </c>
      <c r="E5" s="47"/>
      <c r="F5" s="50" t="s">
        <v>40</v>
      </c>
      <c r="G5" s="54"/>
      <c r="H5" s="47"/>
      <c r="I5" s="57" t="s">
        <v>41</v>
      </c>
      <c r="J5" s="33"/>
      <c r="K5" s="33"/>
    </row>
    <row r="6" ht="47.25" customHeight="1">
      <c r="A6" s="36">
        <v>4.0</v>
      </c>
      <c r="B6" s="55" t="s">
        <v>49</v>
      </c>
      <c r="C6" s="47" t="s">
        <v>50</v>
      </c>
      <c r="D6" s="50" t="s">
        <v>35</v>
      </c>
      <c r="E6" s="47"/>
      <c r="F6" s="72">
        <v>46210.0</v>
      </c>
      <c r="G6" s="54"/>
      <c r="H6" s="47"/>
      <c r="I6" s="57" t="s">
        <v>41</v>
      </c>
      <c r="J6" s="33"/>
      <c r="K6" s="33"/>
    </row>
    <row r="7" ht="36.0" customHeight="1">
      <c r="A7" s="36">
        <v>5.0</v>
      </c>
      <c r="B7" s="38" t="s">
        <v>57</v>
      </c>
      <c r="C7" s="47" t="s">
        <v>33</v>
      </c>
      <c r="D7" s="50" t="s">
        <v>33</v>
      </c>
      <c r="E7" s="47"/>
      <c r="F7" s="50" t="s">
        <v>61</v>
      </c>
      <c r="G7" s="54"/>
      <c r="H7" s="47"/>
      <c r="I7" s="57" t="s">
        <v>41</v>
      </c>
      <c r="J7" s="33"/>
      <c r="K7" s="33"/>
    </row>
    <row r="8" ht="36.0" customHeight="1">
      <c r="A8" s="36">
        <v>6.0</v>
      </c>
      <c r="B8" s="78" t="s">
        <v>62</v>
      </c>
      <c r="C8" s="47" t="s">
        <v>35</v>
      </c>
      <c r="D8" s="50" t="s">
        <v>35</v>
      </c>
      <c r="E8" s="47"/>
      <c r="F8" s="50" t="s">
        <v>66</v>
      </c>
      <c r="G8" s="54"/>
      <c r="H8" s="47" t="s">
        <v>67</v>
      </c>
      <c r="I8" s="57" t="s">
        <v>41</v>
      </c>
      <c r="J8" s="33"/>
      <c r="K8" s="33"/>
    </row>
    <row r="9" ht="36.0" customHeight="1">
      <c r="A9" s="36">
        <v>7.0</v>
      </c>
      <c r="B9" s="55" t="s">
        <v>68</v>
      </c>
      <c r="C9" s="47" t="s">
        <v>35</v>
      </c>
      <c r="D9" s="50" t="s">
        <v>69</v>
      </c>
      <c r="E9" s="47"/>
      <c r="F9" s="50" t="s">
        <v>66</v>
      </c>
      <c r="G9" s="54"/>
      <c r="H9" s="47" t="s">
        <v>67</v>
      </c>
      <c r="I9" s="57" t="s">
        <v>41</v>
      </c>
      <c r="J9" s="33"/>
      <c r="K9" s="33"/>
    </row>
    <row r="10" ht="36.0" customHeight="1">
      <c r="A10" s="36">
        <v>8.0</v>
      </c>
      <c r="B10" s="78" t="s">
        <v>71</v>
      </c>
      <c r="C10" s="47" t="s">
        <v>33</v>
      </c>
      <c r="D10" s="50" t="s">
        <v>33</v>
      </c>
      <c r="E10" s="47"/>
      <c r="F10" s="50" t="s">
        <v>73</v>
      </c>
      <c r="G10" s="54"/>
      <c r="H10" s="47" t="s">
        <v>74</v>
      </c>
      <c r="I10" s="57" t="s">
        <v>41</v>
      </c>
      <c r="J10" s="33"/>
      <c r="K10" s="33"/>
    </row>
    <row r="11" ht="36.0" customHeight="1">
      <c r="A11" s="36">
        <v>9.0</v>
      </c>
      <c r="B11" s="78" t="s">
        <v>76</v>
      </c>
      <c r="C11" s="47" t="s">
        <v>77</v>
      </c>
      <c r="D11" s="50" t="s">
        <v>33</v>
      </c>
      <c r="E11" s="47"/>
      <c r="F11" s="81">
        <v>46362.0</v>
      </c>
      <c r="G11" s="54"/>
      <c r="H11" s="47" t="s">
        <v>67</v>
      </c>
      <c r="I11" s="57" t="s">
        <v>41</v>
      </c>
      <c r="J11" s="33"/>
      <c r="K11" s="33"/>
    </row>
    <row r="12" ht="36.0" customHeight="1">
      <c r="A12" s="36">
        <v>10.0</v>
      </c>
      <c r="B12" s="78" t="s">
        <v>80</v>
      </c>
      <c r="C12" s="47" t="s">
        <v>35</v>
      </c>
      <c r="D12" s="50" t="s">
        <v>35</v>
      </c>
      <c r="E12" s="47"/>
      <c r="F12" s="81">
        <v>46332.0</v>
      </c>
      <c r="G12" s="54"/>
      <c r="H12" s="47" t="s">
        <v>74</v>
      </c>
      <c r="I12" s="57" t="s">
        <v>41</v>
      </c>
      <c r="J12" s="33"/>
      <c r="K12" s="33"/>
    </row>
    <row r="13" ht="36.0" customHeight="1">
      <c r="A13" s="36">
        <v>11.0</v>
      </c>
      <c r="B13" s="78" t="s">
        <v>84</v>
      </c>
      <c r="C13" s="47" t="s">
        <v>33</v>
      </c>
      <c r="D13" s="50" t="s">
        <v>33</v>
      </c>
      <c r="E13" s="47"/>
      <c r="F13" s="81">
        <v>46271.0</v>
      </c>
      <c r="G13" s="54"/>
      <c r="H13" s="47" t="s">
        <v>86</v>
      </c>
      <c r="I13" s="57" t="s">
        <v>41</v>
      </c>
      <c r="J13" s="33"/>
      <c r="K13" s="33"/>
    </row>
    <row r="14" ht="43.5" customHeight="1">
      <c r="A14" s="36">
        <v>12.0</v>
      </c>
      <c r="B14" s="78" t="s">
        <v>88</v>
      </c>
      <c r="C14" s="47" t="s">
        <v>33</v>
      </c>
      <c r="D14" s="50" t="s">
        <v>33</v>
      </c>
      <c r="E14" s="47"/>
      <c r="F14" s="81">
        <v>46240.0</v>
      </c>
      <c r="G14" s="54"/>
      <c r="H14" s="47" t="s">
        <v>74</v>
      </c>
      <c r="I14" s="57" t="s">
        <v>41</v>
      </c>
      <c r="J14" s="33"/>
      <c r="K14" s="33"/>
    </row>
    <row r="15" ht="36.0" customHeight="1">
      <c r="A15" s="36">
        <v>13.0</v>
      </c>
      <c r="B15" s="78" t="s">
        <v>91</v>
      </c>
      <c r="C15" s="47" t="s">
        <v>33</v>
      </c>
      <c r="D15" s="50" t="s">
        <v>33</v>
      </c>
      <c r="E15" s="47"/>
      <c r="F15" s="81">
        <v>46148.0</v>
      </c>
      <c r="G15" s="54"/>
      <c r="H15" s="47" t="s">
        <v>92</v>
      </c>
      <c r="I15" s="57" t="s">
        <v>41</v>
      </c>
      <c r="J15" s="33"/>
      <c r="K15" s="33"/>
    </row>
    <row r="16" ht="36.0" customHeight="1">
      <c r="A16" s="36">
        <v>14.0</v>
      </c>
      <c r="B16" s="78" t="s">
        <v>94</v>
      </c>
      <c r="C16" s="47" t="s">
        <v>33</v>
      </c>
      <c r="D16" s="50" t="s">
        <v>33</v>
      </c>
      <c r="E16" s="47"/>
      <c r="F16" s="81">
        <v>46059.0</v>
      </c>
      <c r="G16" s="54"/>
      <c r="H16" s="47" t="s">
        <v>74</v>
      </c>
      <c r="I16" s="57" t="s">
        <v>41</v>
      </c>
      <c r="J16" s="33"/>
      <c r="K16" s="33"/>
    </row>
    <row r="17">
      <c r="A17" s="36">
        <v>15.0</v>
      </c>
      <c r="B17" s="78" t="s">
        <v>96</v>
      </c>
      <c r="C17" s="47" t="s">
        <v>29</v>
      </c>
      <c r="D17" s="50" t="s">
        <v>29</v>
      </c>
      <c r="E17" s="47"/>
      <c r="F17" s="81">
        <v>46059.0</v>
      </c>
      <c r="G17" s="54"/>
      <c r="H17" s="47" t="s">
        <v>74</v>
      </c>
      <c r="I17" s="57" t="s">
        <v>41</v>
      </c>
      <c r="J17" s="33"/>
      <c r="K17" s="33"/>
    </row>
    <row r="18" ht="63.0" customHeight="1">
      <c r="A18" s="36">
        <v>16.0</v>
      </c>
      <c r="B18" s="78" t="s">
        <v>100</v>
      </c>
      <c r="C18" s="47" t="s">
        <v>55</v>
      </c>
      <c r="D18" s="50" t="s">
        <v>29</v>
      </c>
      <c r="E18" s="47"/>
      <c r="F18" s="81">
        <v>46059.0</v>
      </c>
      <c r="G18" s="54"/>
      <c r="H18" s="47" t="s">
        <v>74</v>
      </c>
      <c r="I18" s="57" t="s">
        <v>41</v>
      </c>
      <c r="J18" s="33"/>
      <c r="K18" s="33"/>
    </row>
    <row r="19" ht="36.0" customHeight="1">
      <c r="A19" s="36">
        <v>17.0</v>
      </c>
      <c r="B19" s="78" t="s">
        <v>103</v>
      </c>
      <c r="C19" s="47" t="s">
        <v>29</v>
      </c>
      <c r="D19" s="50" t="s">
        <v>29</v>
      </c>
      <c r="E19" s="47" t="s">
        <v>105</v>
      </c>
      <c r="F19" s="81">
        <v>46028.0</v>
      </c>
      <c r="G19" s="54"/>
      <c r="H19" s="47" t="s">
        <v>67</v>
      </c>
      <c r="I19" s="57" t="s">
        <v>41</v>
      </c>
      <c r="J19" s="33"/>
      <c r="K19" s="33"/>
    </row>
    <row r="20" ht="36.0" customHeight="1">
      <c r="A20" s="36">
        <v>18.0</v>
      </c>
      <c r="B20" s="78" t="s">
        <v>106</v>
      </c>
      <c r="C20" s="47" t="s">
        <v>35</v>
      </c>
      <c r="D20" s="50" t="s">
        <v>35</v>
      </c>
      <c r="E20" s="47" t="s">
        <v>105</v>
      </c>
      <c r="F20" s="81">
        <v>46028.0</v>
      </c>
      <c r="G20" s="54"/>
      <c r="H20" s="47" t="s">
        <v>67</v>
      </c>
      <c r="I20" s="57" t="s">
        <v>41</v>
      </c>
      <c r="J20" s="33"/>
      <c r="K20" s="33"/>
    </row>
    <row r="21" ht="36.0" customHeight="1">
      <c r="A21" s="36">
        <v>19.0</v>
      </c>
      <c r="B21" s="78" t="s">
        <v>112</v>
      </c>
      <c r="C21" s="47" t="s">
        <v>33</v>
      </c>
      <c r="D21" s="50" t="s">
        <v>33</v>
      </c>
      <c r="E21" s="47" t="s">
        <v>105</v>
      </c>
      <c r="F21" s="81">
        <v>46028.0</v>
      </c>
      <c r="G21" s="54"/>
      <c r="H21" s="47" t="s">
        <v>67</v>
      </c>
      <c r="I21" s="57" t="s">
        <v>41</v>
      </c>
      <c r="J21" s="33"/>
      <c r="K21" s="33"/>
    </row>
    <row r="22" ht="36.0" customHeight="1">
      <c r="A22" s="36">
        <v>20.0</v>
      </c>
      <c r="B22" s="92" t="s">
        <v>116</v>
      </c>
      <c r="C22" s="54" t="s">
        <v>35</v>
      </c>
      <c r="D22" s="50" t="s">
        <v>35</v>
      </c>
      <c r="E22" s="47" t="s">
        <v>119</v>
      </c>
      <c r="F22" s="81">
        <v>46331.0</v>
      </c>
      <c r="G22" s="54"/>
      <c r="H22" s="47" t="s">
        <v>86</v>
      </c>
      <c r="I22" s="57" t="s">
        <v>41</v>
      </c>
      <c r="J22" s="33"/>
      <c r="K22" s="33"/>
    </row>
    <row r="23" ht="36.0" customHeight="1">
      <c r="A23" s="36">
        <v>21.0</v>
      </c>
      <c r="B23" s="92" t="s">
        <v>121</v>
      </c>
      <c r="C23" s="54" t="s">
        <v>35</v>
      </c>
      <c r="D23" s="47" t="s">
        <v>35</v>
      </c>
      <c r="E23" s="47" t="s">
        <v>105</v>
      </c>
      <c r="F23" s="50" t="s">
        <v>123</v>
      </c>
      <c r="G23" s="99"/>
      <c r="H23" s="47" t="s">
        <v>67</v>
      </c>
      <c r="I23" s="57" t="s">
        <v>41</v>
      </c>
      <c r="J23" s="33"/>
      <c r="K23" s="33"/>
    </row>
    <row r="24" ht="36.0" customHeight="1">
      <c r="A24" s="36">
        <v>22.0</v>
      </c>
      <c r="B24" s="78" t="s">
        <v>125</v>
      </c>
      <c r="C24" s="47" t="s">
        <v>33</v>
      </c>
      <c r="D24" s="50" t="s">
        <v>33</v>
      </c>
      <c r="E24" s="47" t="s">
        <v>105</v>
      </c>
      <c r="F24" s="47" t="s">
        <v>130</v>
      </c>
      <c r="G24" s="106"/>
      <c r="H24" s="47" t="s">
        <v>67</v>
      </c>
      <c r="I24" s="47" t="s">
        <v>41</v>
      </c>
      <c r="J24" s="33"/>
      <c r="K24" s="33"/>
    </row>
    <row r="25" ht="36.0" customHeight="1">
      <c r="A25" s="36">
        <v>23.0</v>
      </c>
      <c r="B25" s="78" t="s">
        <v>136</v>
      </c>
      <c r="C25" s="47" t="s">
        <v>43</v>
      </c>
      <c r="D25" s="50" t="s">
        <v>115</v>
      </c>
      <c r="E25" s="47" t="s">
        <v>105</v>
      </c>
      <c r="F25" s="47" t="s">
        <v>130</v>
      </c>
      <c r="G25" s="106"/>
      <c r="H25" s="47" t="s">
        <v>67</v>
      </c>
      <c r="I25" s="47" t="s">
        <v>41</v>
      </c>
      <c r="J25" s="33"/>
      <c r="K25" s="33"/>
    </row>
    <row r="26" ht="36.0" customHeight="1">
      <c r="A26" s="36">
        <v>24.0</v>
      </c>
      <c r="B26" s="78" t="s">
        <v>142</v>
      </c>
      <c r="C26" s="47" t="s">
        <v>33</v>
      </c>
      <c r="D26" s="50" t="s">
        <v>33</v>
      </c>
      <c r="E26" s="47" t="s">
        <v>105</v>
      </c>
      <c r="F26" s="61" t="s">
        <v>144</v>
      </c>
      <c r="G26" s="47"/>
      <c r="H26" s="47" t="s">
        <v>148</v>
      </c>
      <c r="I26" s="110" t="s">
        <v>41</v>
      </c>
      <c r="J26" s="33"/>
      <c r="K26" s="33"/>
    </row>
    <row r="27" ht="36.0" customHeight="1">
      <c r="A27" s="36">
        <v>25.0</v>
      </c>
      <c r="B27" s="78" t="s">
        <v>153</v>
      </c>
      <c r="C27" s="47" t="s">
        <v>29</v>
      </c>
      <c r="D27" s="50" t="s">
        <v>29</v>
      </c>
      <c r="E27" s="47" t="s">
        <v>105</v>
      </c>
      <c r="F27" s="61" t="s">
        <v>144</v>
      </c>
      <c r="G27" s="47"/>
      <c r="H27" s="47" t="s">
        <v>67</v>
      </c>
      <c r="I27" s="110" t="s">
        <v>41</v>
      </c>
      <c r="J27" s="33"/>
      <c r="K27" s="33"/>
    </row>
    <row r="28" ht="49.5" customHeight="1">
      <c r="A28" s="36">
        <v>26.0</v>
      </c>
      <c r="B28" s="78" t="s">
        <v>158</v>
      </c>
      <c r="C28" s="47" t="s">
        <v>35</v>
      </c>
      <c r="D28" s="50" t="s">
        <v>115</v>
      </c>
      <c r="E28" s="47" t="s">
        <v>105</v>
      </c>
      <c r="F28" s="61" t="s">
        <v>144</v>
      </c>
      <c r="G28" s="47"/>
      <c r="H28" s="47" t="s">
        <v>67</v>
      </c>
      <c r="I28" s="110" t="s">
        <v>41</v>
      </c>
      <c r="J28" s="33"/>
      <c r="K28" s="33"/>
    </row>
    <row r="29" ht="36.0" customHeight="1">
      <c r="A29" s="36">
        <v>27.0</v>
      </c>
      <c r="B29" s="78" t="s">
        <v>162</v>
      </c>
      <c r="C29" s="50" t="s">
        <v>33</v>
      </c>
      <c r="D29" s="50" t="s">
        <v>33</v>
      </c>
      <c r="E29" s="50" t="s">
        <v>105</v>
      </c>
      <c r="F29" s="47" t="s">
        <v>168</v>
      </c>
      <c r="G29" s="117"/>
      <c r="H29" s="119"/>
      <c r="I29" s="57" t="s">
        <v>41</v>
      </c>
      <c r="J29" s="33"/>
      <c r="K29" s="33"/>
    </row>
    <row r="30" ht="36.0" customHeight="1">
      <c r="A30" s="36">
        <v>28.0</v>
      </c>
      <c r="B30" s="78" t="s">
        <v>173</v>
      </c>
      <c r="C30" s="50" t="s">
        <v>115</v>
      </c>
      <c r="D30" s="50" t="s">
        <v>115</v>
      </c>
      <c r="E30" s="50" t="s">
        <v>105</v>
      </c>
      <c r="F30" s="47" t="s">
        <v>168</v>
      </c>
      <c r="G30" s="106"/>
      <c r="H30" s="119"/>
      <c r="I30" s="57" t="s">
        <v>41</v>
      </c>
      <c r="J30" s="33"/>
      <c r="K30" s="33"/>
    </row>
    <row r="31" ht="36.0" customHeight="1">
      <c r="A31" s="36">
        <v>29.0</v>
      </c>
      <c r="B31" s="78" t="s">
        <v>181</v>
      </c>
      <c r="C31" s="50" t="s">
        <v>29</v>
      </c>
      <c r="D31" s="50" t="s">
        <v>115</v>
      </c>
      <c r="E31" s="50" t="s">
        <v>185</v>
      </c>
      <c r="F31" s="47" t="s">
        <v>168</v>
      </c>
      <c r="G31" s="106"/>
      <c r="H31" s="119"/>
      <c r="I31" s="57" t="s">
        <v>41</v>
      </c>
      <c r="J31" s="33"/>
      <c r="K31" s="33"/>
    </row>
    <row r="32" ht="36.0" customHeight="1">
      <c r="A32" s="36">
        <v>30.0</v>
      </c>
      <c r="B32" s="78" t="s">
        <v>189</v>
      </c>
      <c r="C32" s="50" t="s">
        <v>55</v>
      </c>
      <c r="D32" s="50" t="s">
        <v>29</v>
      </c>
      <c r="E32" s="50"/>
      <c r="F32" s="122">
        <v>46148.0</v>
      </c>
      <c r="G32" s="106"/>
      <c r="H32" s="119"/>
      <c r="I32" s="57" t="s">
        <v>41</v>
      </c>
      <c r="J32" s="33"/>
      <c r="K32" s="33"/>
    </row>
    <row r="33" ht="36.0" customHeight="1">
      <c r="A33" s="36">
        <v>31.0</v>
      </c>
      <c r="B33" s="78" t="s">
        <v>194</v>
      </c>
      <c r="C33" s="50" t="s">
        <v>35</v>
      </c>
      <c r="D33" s="50" t="s">
        <v>35</v>
      </c>
      <c r="E33" s="50"/>
      <c r="F33" s="122">
        <v>46148.0</v>
      </c>
      <c r="G33" s="106"/>
      <c r="H33" s="119"/>
      <c r="I33" s="57" t="s">
        <v>41</v>
      </c>
      <c r="J33" s="33"/>
      <c r="K33" s="33"/>
    </row>
    <row r="34" ht="36.0" customHeight="1">
      <c r="A34" s="36">
        <v>32.0</v>
      </c>
      <c r="B34" s="55" t="s">
        <v>198</v>
      </c>
      <c r="C34" s="50" t="s">
        <v>29</v>
      </c>
      <c r="D34" s="50" t="s">
        <v>29</v>
      </c>
      <c r="E34" s="50" t="s">
        <v>111</v>
      </c>
      <c r="F34" s="122">
        <v>46271.0</v>
      </c>
      <c r="G34" s="106"/>
      <c r="H34" s="119"/>
      <c r="I34" s="57" t="s">
        <v>41</v>
      </c>
      <c r="J34" s="33"/>
      <c r="K34" s="33"/>
    </row>
    <row r="35" ht="36.0" customHeight="1">
      <c r="A35" s="36">
        <v>33.0</v>
      </c>
      <c r="B35" s="38" t="s">
        <v>205</v>
      </c>
      <c r="C35" s="50" t="s">
        <v>77</v>
      </c>
      <c r="D35" s="50" t="s">
        <v>77</v>
      </c>
      <c r="E35" s="119"/>
      <c r="F35" s="47" t="s">
        <v>61</v>
      </c>
      <c r="G35" s="106"/>
      <c r="H35" s="119"/>
      <c r="I35" s="57" t="s">
        <v>41</v>
      </c>
      <c r="J35" s="33"/>
      <c r="K35" s="33"/>
    </row>
    <row r="36" ht="36.0" customHeight="1">
      <c r="A36" s="36">
        <v>34.0</v>
      </c>
      <c r="B36" s="92" t="s">
        <v>210</v>
      </c>
      <c r="C36" s="50" t="s">
        <v>35</v>
      </c>
      <c r="D36" s="50" t="s">
        <v>35</v>
      </c>
      <c r="E36" s="119" t="s">
        <v>212</v>
      </c>
      <c r="F36" s="93">
        <v>46057.0</v>
      </c>
      <c r="G36" s="106"/>
      <c r="H36" s="119"/>
      <c r="I36" s="57" t="s">
        <v>41</v>
      </c>
      <c r="J36" s="33"/>
      <c r="K36" s="33"/>
    </row>
    <row r="37">
      <c r="A37" s="36">
        <v>35.0</v>
      </c>
      <c r="B37" s="92" t="s">
        <v>218</v>
      </c>
      <c r="C37" s="47" t="s">
        <v>33</v>
      </c>
      <c r="D37" s="47" t="s">
        <v>33</v>
      </c>
      <c r="E37" s="119" t="s">
        <v>31</v>
      </c>
      <c r="F37" s="133">
        <v>46121.0</v>
      </c>
      <c r="G37" s="31"/>
      <c r="H37" s="54" t="s">
        <v>92</v>
      </c>
      <c r="I37" s="47" t="s">
        <v>41</v>
      </c>
      <c r="J37" s="33"/>
      <c r="K37" s="33"/>
    </row>
    <row r="38">
      <c r="A38" s="36">
        <v>36.0</v>
      </c>
      <c r="B38" s="92" t="s">
        <v>223</v>
      </c>
      <c r="C38" s="54" t="s">
        <v>33</v>
      </c>
      <c r="D38" s="54" t="s">
        <v>33</v>
      </c>
      <c r="E38" s="119" t="s">
        <v>105</v>
      </c>
      <c r="F38" s="133">
        <v>46121.0</v>
      </c>
      <c r="G38" s="54" t="s">
        <v>227</v>
      </c>
      <c r="H38" s="54" t="s">
        <v>228</v>
      </c>
      <c r="I38" s="47" t="s">
        <v>41</v>
      </c>
      <c r="J38" s="33"/>
      <c r="K38" s="33"/>
    </row>
    <row r="39">
      <c r="A39" s="36">
        <v>37.0</v>
      </c>
      <c r="B39" s="92" t="s">
        <v>230</v>
      </c>
      <c r="C39" s="54" t="s">
        <v>35</v>
      </c>
      <c r="D39" s="54" t="s">
        <v>35</v>
      </c>
      <c r="E39" s="54" t="s">
        <v>234</v>
      </c>
      <c r="F39" s="54" t="s">
        <v>235</v>
      </c>
      <c r="G39" s="54" t="s">
        <v>227</v>
      </c>
      <c r="H39" s="54" t="s">
        <v>236</v>
      </c>
      <c r="I39" s="78" t="s">
        <v>41</v>
      </c>
      <c r="J39" s="33"/>
      <c r="K39" s="33"/>
    </row>
    <row r="40">
      <c r="A40" s="36">
        <v>38.0</v>
      </c>
      <c r="B40" s="92" t="s">
        <v>241</v>
      </c>
      <c r="C40" s="54" t="s">
        <v>43</v>
      </c>
      <c r="D40" s="54" t="s">
        <v>43</v>
      </c>
      <c r="E40" s="119" t="s">
        <v>234</v>
      </c>
      <c r="F40" s="133">
        <v>46120.0</v>
      </c>
      <c r="G40" s="31"/>
      <c r="H40" s="54" t="s">
        <v>245</v>
      </c>
      <c r="I40" s="47" t="s">
        <v>41</v>
      </c>
      <c r="J40" s="33"/>
      <c r="K40" s="33"/>
    </row>
    <row r="41" ht="35.25" customHeight="1">
      <c r="A41" s="36">
        <v>39.0</v>
      </c>
      <c r="B41" s="78" t="s">
        <v>173</v>
      </c>
      <c r="C41" s="47" t="s">
        <v>115</v>
      </c>
      <c r="D41" s="50" t="s">
        <v>115</v>
      </c>
      <c r="E41" s="140" t="s">
        <v>249</v>
      </c>
      <c r="F41" s="106"/>
      <c r="G41" s="47" t="s">
        <v>251</v>
      </c>
      <c r="H41" s="47"/>
      <c r="I41" s="110" t="s">
        <v>41</v>
      </c>
      <c r="J41" s="33"/>
      <c r="K41" s="33"/>
    </row>
    <row r="42">
      <c r="A42" s="36">
        <v>40.0</v>
      </c>
      <c r="B42" s="78" t="s">
        <v>253</v>
      </c>
      <c r="C42" s="54" t="s">
        <v>33</v>
      </c>
      <c r="D42" s="47" t="s">
        <v>33</v>
      </c>
      <c r="E42" s="54" t="s">
        <v>256</v>
      </c>
      <c r="F42" s="144">
        <v>400.0</v>
      </c>
      <c r="G42" s="92" t="s">
        <v>236</v>
      </c>
      <c r="H42" s="54" t="s">
        <v>260</v>
      </c>
      <c r="I42" s="57" t="s">
        <v>41</v>
      </c>
      <c r="J42" s="33"/>
      <c r="K42" s="33"/>
    </row>
    <row r="43">
      <c r="A43" s="36">
        <v>41.0</v>
      </c>
      <c r="B43" s="78" t="s">
        <v>262</v>
      </c>
      <c r="C43" s="47" t="s">
        <v>29</v>
      </c>
      <c r="D43" s="50" t="s">
        <v>29</v>
      </c>
      <c r="E43" s="54" t="s">
        <v>130</v>
      </c>
      <c r="F43" s="99" t="s">
        <v>227</v>
      </c>
      <c r="G43" s="54" t="s">
        <v>264</v>
      </c>
      <c r="H43" s="119"/>
      <c r="I43" s="57" t="s">
        <v>41</v>
      </c>
      <c r="J43" s="33"/>
      <c r="K43" s="33"/>
    </row>
    <row r="44" ht="37.5" customHeight="1">
      <c r="A44" s="36">
        <v>42.0</v>
      </c>
      <c r="B44" s="55" t="s">
        <v>267</v>
      </c>
      <c r="C44" s="50" t="s">
        <v>55</v>
      </c>
      <c r="D44" s="50" t="s">
        <v>29</v>
      </c>
      <c r="E44" s="119"/>
      <c r="F44" s="57" t="s">
        <v>191</v>
      </c>
      <c r="G44" s="31"/>
      <c r="H44" s="150"/>
      <c r="I44" s="55" t="s">
        <v>41</v>
      </c>
      <c r="J44" s="33"/>
      <c r="K44" s="33"/>
    </row>
    <row r="45" ht="37.5" customHeight="1">
      <c r="A45" s="36">
        <v>43.0</v>
      </c>
      <c r="B45" s="55" t="s">
        <v>273</v>
      </c>
      <c r="C45" s="50" t="s">
        <v>35</v>
      </c>
      <c r="D45" s="50" t="s">
        <v>35</v>
      </c>
      <c r="E45" s="119"/>
      <c r="F45" s="57" t="s">
        <v>275</v>
      </c>
      <c r="G45" s="31"/>
      <c r="H45" s="150"/>
      <c r="I45" s="55" t="s">
        <v>41</v>
      </c>
      <c r="J45" s="33"/>
      <c r="K45" s="33"/>
    </row>
    <row r="46" ht="37.5" customHeight="1">
      <c r="A46" s="36">
        <v>44.0</v>
      </c>
      <c r="B46" s="55" t="s">
        <v>278</v>
      </c>
      <c r="C46" s="50" t="s">
        <v>33</v>
      </c>
      <c r="D46" s="50" t="s">
        <v>33</v>
      </c>
      <c r="E46" s="119"/>
      <c r="F46" s="57" t="s">
        <v>191</v>
      </c>
      <c r="G46" s="31"/>
      <c r="H46" s="150"/>
      <c r="I46" s="55" t="s">
        <v>41</v>
      </c>
      <c r="J46" s="33"/>
      <c r="K46" s="33"/>
    </row>
    <row r="47" ht="37.5" customHeight="1">
      <c r="A47" s="36">
        <v>45.0</v>
      </c>
      <c r="B47" s="92" t="s">
        <v>283</v>
      </c>
      <c r="C47" s="50" t="s">
        <v>55</v>
      </c>
      <c r="D47" s="119" t="s">
        <v>234</v>
      </c>
      <c r="E47" s="119" t="s">
        <v>287</v>
      </c>
      <c r="F47" s="31"/>
      <c r="G47" s="31" t="s">
        <v>236</v>
      </c>
      <c r="H47" s="150"/>
      <c r="I47" s="55" t="s">
        <v>41</v>
      </c>
      <c r="J47" s="33"/>
      <c r="K47" s="33"/>
    </row>
    <row r="48" hidden="1">
      <c r="A48" s="36">
        <v>46.0</v>
      </c>
      <c r="B48" s="153" t="s">
        <v>289</v>
      </c>
      <c r="C48" s="156" t="s">
        <v>50</v>
      </c>
      <c r="D48" s="157" t="s">
        <v>69</v>
      </c>
      <c r="E48" s="159"/>
      <c r="F48" s="159"/>
      <c r="G48" s="159"/>
      <c r="H48" s="159"/>
      <c r="I48" s="160" t="s">
        <v>41</v>
      </c>
      <c r="J48" s="161"/>
      <c r="K48" s="161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 ht="36.0" customHeight="1">
      <c r="A49" s="36">
        <v>47.0</v>
      </c>
      <c r="B49" s="124" t="s">
        <v>142</v>
      </c>
      <c r="C49" s="165" t="s">
        <v>33</v>
      </c>
      <c r="D49" s="124" t="s">
        <v>33</v>
      </c>
      <c r="E49" s="166"/>
      <c r="F49" s="166"/>
      <c r="G49" s="166"/>
      <c r="H49" s="166"/>
      <c r="I49" s="55" t="s">
        <v>41</v>
      </c>
      <c r="J49" s="33"/>
      <c r="K49" s="33"/>
    </row>
    <row r="50" ht="36.0" customHeight="1">
      <c r="A50" s="36">
        <v>48.0</v>
      </c>
      <c r="B50" s="55" t="s">
        <v>302</v>
      </c>
      <c r="C50" s="167" t="s">
        <v>35</v>
      </c>
      <c r="D50" s="127" t="s">
        <v>35</v>
      </c>
      <c r="E50" s="127" t="s">
        <v>303</v>
      </c>
      <c r="F50" s="168">
        <v>46149.0</v>
      </c>
      <c r="G50" s="169"/>
      <c r="H50" s="169"/>
      <c r="I50" s="55"/>
      <c r="J50" s="33"/>
      <c r="K50" s="33"/>
    </row>
    <row r="51" ht="36.0" customHeight="1">
      <c r="A51" s="36">
        <v>49.0</v>
      </c>
      <c r="B51" s="170" t="s">
        <v>306</v>
      </c>
      <c r="C51" s="167" t="s">
        <v>35</v>
      </c>
      <c r="D51" s="127" t="s">
        <v>35</v>
      </c>
      <c r="E51" s="168"/>
      <c r="F51" s="168"/>
      <c r="G51" s="169"/>
      <c r="H51" s="169"/>
      <c r="I51" s="55"/>
      <c r="J51" s="33"/>
      <c r="K51" s="33"/>
    </row>
    <row r="52" ht="36.0" customHeight="1">
      <c r="A52" s="36">
        <v>50.0</v>
      </c>
      <c r="B52" s="170" t="s">
        <v>309</v>
      </c>
      <c r="C52" s="167" t="s">
        <v>29</v>
      </c>
      <c r="D52" s="127" t="s">
        <v>29</v>
      </c>
      <c r="E52" s="168"/>
      <c r="F52" s="168">
        <v>46331.0</v>
      </c>
      <c r="G52" s="169"/>
      <c r="H52" s="169"/>
      <c r="I52" s="55" t="s">
        <v>41</v>
      </c>
      <c r="J52" s="33"/>
      <c r="K52" s="33"/>
    </row>
    <row r="53" ht="36.75" customHeight="1">
      <c r="A53" s="36">
        <v>51.0</v>
      </c>
      <c r="B53" s="127" t="s">
        <v>311</v>
      </c>
      <c r="C53" s="167" t="s">
        <v>35</v>
      </c>
      <c r="D53" s="127" t="s">
        <v>35</v>
      </c>
      <c r="E53" s="171"/>
      <c r="F53" s="171">
        <v>46361.0</v>
      </c>
      <c r="G53" s="169"/>
      <c r="H53" s="169"/>
      <c r="I53" s="55" t="s">
        <v>41</v>
      </c>
      <c r="J53" s="33"/>
      <c r="K53" s="33"/>
    </row>
    <row r="54" ht="37.5" customHeight="1">
      <c r="A54" s="36">
        <v>52.0</v>
      </c>
      <c r="B54" s="127" t="s">
        <v>315</v>
      </c>
      <c r="C54" s="167" t="s">
        <v>33</v>
      </c>
      <c r="D54" s="127" t="s">
        <v>33</v>
      </c>
      <c r="E54" s="171"/>
      <c r="F54" s="171">
        <v>46361.0</v>
      </c>
      <c r="G54" s="169"/>
      <c r="H54" s="169"/>
      <c r="I54" s="55" t="s">
        <v>41</v>
      </c>
      <c r="J54" s="33"/>
      <c r="K54" s="33"/>
    </row>
    <row r="55" ht="31.5" customHeight="1">
      <c r="A55" s="36">
        <v>53.0</v>
      </c>
      <c r="B55" s="127" t="s">
        <v>318</v>
      </c>
      <c r="C55" s="167" t="s">
        <v>33</v>
      </c>
      <c r="D55" s="127" t="s">
        <v>33</v>
      </c>
      <c r="E55" s="171"/>
      <c r="F55" s="171">
        <v>46361.0</v>
      </c>
      <c r="G55" s="169"/>
      <c r="H55" s="169"/>
      <c r="I55" s="55" t="s">
        <v>41</v>
      </c>
      <c r="J55" s="33"/>
      <c r="K55" s="33"/>
    </row>
    <row r="56" ht="29.25" customHeight="1">
      <c r="A56" s="36">
        <v>54.0</v>
      </c>
      <c r="B56" s="55" t="s">
        <v>321</v>
      </c>
      <c r="C56" s="165" t="s">
        <v>29</v>
      </c>
      <c r="D56" s="165" t="s">
        <v>29</v>
      </c>
      <c r="E56" s="166"/>
      <c r="F56" s="124" t="s">
        <v>322</v>
      </c>
      <c r="G56" s="166"/>
      <c r="H56" s="166"/>
      <c r="I56" s="55" t="s">
        <v>41</v>
      </c>
      <c r="J56" s="33"/>
      <c r="K56" s="33"/>
    </row>
    <row r="57" ht="29.25" customHeight="1">
      <c r="A57" s="36">
        <v>55.0</v>
      </c>
      <c r="B57" s="124" t="s">
        <v>325</v>
      </c>
      <c r="C57" s="165" t="s">
        <v>43</v>
      </c>
      <c r="D57" s="165" t="s">
        <v>43</v>
      </c>
      <c r="E57" s="166"/>
      <c r="F57" s="173">
        <v>46361.0</v>
      </c>
      <c r="G57" s="166"/>
      <c r="H57" s="166"/>
      <c r="I57" s="55" t="s">
        <v>41</v>
      </c>
      <c r="J57" s="33"/>
      <c r="K57" s="33"/>
    </row>
    <row r="58" ht="29.25" customHeight="1">
      <c r="A58" s="36">
        <v>56.0</v>
      </c>
      <c r="B58" s="124" t="s">
        <v>192</v>
      </c>
      <c r="C58" s="165" t="s">
        <v>115</v>
      </c>
      <c r="D58" s="165" t="s">
        <v>108</v>
      </c>
      <c r="E58" s="166"/>
      <c r="F58" s="173">
        <v>46331.0</v>
      </c>
      <c r="G58" s="166"/>
      <c r="H58" s="166"/>
      <c r="I58" s="55" t="s">
        <v>41</v>
      </c>
      <c r="J58" s="33"/>
      <c r="K58" s="33"/>
    </row>
    <row r="59" ht="36.0" customHeight="1">
      <c r="A59" s="36">
        <v>57.0</v>
      </c>
      <c r="B59" s="124" t="s">
        <v>200</v>
      </c>
      <c r="C59" s="165" t="s">
        <v>29</v>
      </c>
      <c r="D59" s="165" t="s">
        <v>29</v>
      </c>
      <c r="E59" s="166"/>
      <c r="F59" s="173">
        <v>46331.0</v>
      </c>
      <c r="G59" s="166"/>
      <c r="H59" s="166"/>
      <c r="I59" s="55" t="s">
        <v>41</v>
      </c>
      <c r="J59" s="33"/>
      <c r="K59" s="33"/>
    </row>
    <row r="60" ht="29.25" customHeight="1">
      <c r="A60" s="36">
        <v>58.0</v>
      </c>
      <c r="B60" s="127" t="s">
        <v>329</v>
      </c>
      <c r="C60" s="165" t="s">
        <v>98</v>
      </c>
      <c r="D60" s="165" t="s">
        <v>108</v>
      </c>
      <c r="E60" s="166"/>
      <c r="F60" s="173">
        <v>46331.0</v>
      </c>
      <c r="G60" s="166"/>
      <c r="H60" s="166"/>
      <c r="I60" s="55" t="s">
        <v>41</v>
      </c>
      <c r="J60" s="33"/>
      <c r="K60" s="33"/>
    </row>
    <row r="61" ht="35.25" customHeight="1">
      <c r="A61" s="36">
        <v>59.0</v>
      </c>
      <c r="B61" s="124" t="s">
        <v>208</v>
      </c>
      <c r="C61" s="165" t="s">
        <v>33</v>
      </c>
      <c r="D61" s="165" t="s">
        <v>33</v>
      </c>
      <c r="E61" s="166"/>
      <c r="F61" s="173">
        <v>46331.0</v>
      </c>
      <c r="G61" s="166"/>
      <c r="H61" s="166"/>
      <c r="I61" s="55" t="s">
        <v>41</v>
      </c>
      <c r="J61" s="33"/>
      <c r="K61" s="33"/>
    </row>
    <row r="62" ht="36.75" customHeight="1">
      <c r="A62" s="36">
        <v>60.0</v>
      </c>
      <c r="B62" s="127" t="s">
        <v>339</v>
      </c>
      <c r="C62" s="165" t="s">
        <v>33</v>
      </c>
      <c r="D62" s="165" t="s">
        <v>33</v>
      </c>
      <c r="E62" s="180"/>
      <c r="F62" s="165" t="s">
        <v>342</v>
      </c>
      <c r="G62" s="166"/>
      <c r="H62" s="166"/>
      <c r="I62" s="124" t="s">
        <v>41</v>
      </c>
      <c r="J62" s="33"/>
      <c r="K62" s="33"/>
    </row>
    <row r="63" ht="39.75" customHeight="1">
      <c r="A63" s="36">
        <v>61.0</v>
      </c>
      <c r="B63" s="55" t="s">
        <v>345</v>
      </c>
      <c r="C63" s="165" t="s">
        <v>35</v>
      </c>
      <c r="D63" s="165" t="s">
        <v>35</v>
      </c>
      <c r="E63" s="180"/>
      <c r="F63" s="165" t="s">
        <v>322</v>
      </c>
      <c r="G63" s="166"/>
      <c r="H63" s="166"/>
      <c r="I63" s="124"/>
      <c r="J63" s="33"/>
      <c r="K63" s="33"/>
    </row>
    <row r="64" ht="39.75" customHeight="1">
      <c r="A64" s="36">
        <v>62.0</v>
      </c>
      <c r="B64" s="78" t="s">
        <v>347</v>
      </c>
      <c r="C64" s="165" t="s">
        <v>29</v>
      </c>
      <c r="D64" s="165" t="s">
        <v>108</v>
      </c>
      <c r="E64" s="180"/>
      <c r="F64" s="165" t="s">
        <v>342</v>
      </c>
      <c r="G64" s="166"/>
      <c r="H64" s="166"/>
      <c r="I64" s="124" t="s">
        <v>41</v>
      </c>
      <c r="J64" s="33"/>
      <c r="K64" s="33"/>
    </row>
    <row r="65" ht="34.5" customHeight="1">
      <c r="A65" s="36">
        <v>63.0</v>
      </c>
      <c r="B65" s="55" t="s">
        <v>351</v>
      </c>
      <c r="C65" s="111" t="s">
        <v>33</v>
      </c>
      <c r="D65" s="111" t="s">
        <v>33</v>
      </c>
      <c r="E65" s="111"/>
      <c r="F65" s="111" t="s">
        <v>353</v>
      </c>
      <c r="G65" s="59"/>
      <c r="H65" s="59"/>
      <c r="I65" s="124" t="s">
        <v>41</v>
      </c>
      <c r="J65" s="33"/>
      <c r="K65" s="33"/>
    </row>
    <row r="66" ht="36.75" customHeight="1">
      <c r="A66" s="36">
        <v>64.0</v>
      </c>
      <c r="B66" s="55" t="s">
        <v>356</v>
      </c>
      <c r="C66" s="111" t="s">
        <v>33</v>
      </c>
      <c r="D66" s="111" t="s">
        <v>33</v>
      </c>
      <c r="E66" s="111"/>
      <c r="F66" s="111" t="s">
        <v>353</v>
      </c>
      <c r="G66" s="59"/>
      <c r="H66" s="59"/>
      <c r="I66" s="124" t="s">
        <v>41</v>
      </c>
      <c r="J66" s="33"/>
      <c r="K66" s="33"/>
    </row>
    <row r="67" ht="24.0" customHeight="1">
      <c r="A67" s="36">
        <v>65.0</v>
      </c>
      <c r="B67" s="124" t="s">
        <v>360</v>
      </c>
      <c r="C67" s="165" t="s">
        <v>98</v>
      </c>
      <c r="D67" s="165" t="s">
        <v>98</v>
      </c>
      <c r="E67" s="180"/>
      <c r="F67" s="165" t="s">
        <v>361</v>
      </c>
      <c r="G67" s="166"/>
      <c r="H67" s="166"/>
      <c r="I67" s="166"/>
      <c r="J67" s="33"/>
      <c r="K67" s="33"/>
    </row>
    <row r="68" ht="23.25" customHeight="1">
      <c r="A68" s="36">
        <v>66.0</v>
      </c>
      <c r="B68" s="124" t="s">
        <v>366</v>
      </c>
      <c r="C68" s="165" t="s">
        <v>115</v>
      </c>
      <c r="D68" s="165" t="s">
        <v>43</v>
      </c>
      <c r="E68" s="180"/>
      <c r="F68" s="165" t="s">
        <v>367</v>
      </c>
      <c r="G68" s="166"/>
      <c r="H68" s="166"/>
      <c r="I68" s="166"/>
      <c r="J68" s="33"/>
      <c r="K68" s="33"/>
    </row>
    <row r="69" ht="23.25" customHeight="1">
      <c r="A69" s="36">
        <v>67.0</v>
      </c>
      <c r="B69" s="124" t="s">
        <v>369</v>
      </c>
      <c r="C69" s="165" t="s">
        <v>43</v>
      </c>
      <c r="D69" s="165" t="s">
        <v>43</v>
      </c>
      <c r="E69" s="180"/>
      <c r="F69" s="165" t="s">
        <v>371</v>
      </c>
      <c r="G69" s="166"/>
      <c r="H69" s="166"/>
      <c r="I69" s="166"/>
      <c r="J69" s="33"/>
      <c r="K69" s="33"/>
    </row>
    <row r="70" ht="24.75" customHeight="1">
      <c r="A70" s="36">
        <v>68.0</v>
      </c>
      <c r="B70" s="55" t="s">
        <v>374</v>
      </c>
      <c r="C70" s="165" t="s">
        <v>55</v>
      </c>
      <c r="D70" s="165" t="s">
        <v>29</v>
      </c>
      <c r="E70" s="180"/>
      <c r="F70" s="165" t="s">
        <v>375</v>
      </c>
      <c r="G70" s="166"/>
      <c r="H70" s="166"/>
      <c r="I70" s="166"/>
      <c r="J70" s="33"/>
      <c r="K70" s="33"/>
    </row>
    <row r="71" ht="24.75" customHeight="1">
      <c r="A71" s="36">
        <v>69.0</v>
      </c>
      <c r="B71" s="124" t="s">
        <v>378</v>
      </c>
      <c r="C71" s="165" t="s">
        <v>77</v>
      </c>
      <c r="D71" s="165" t="s">
        <v>77</v>
      </c>
      <c r="E71" s="180"/>
      <c r="F71" s="165" t="s">
        <v>371</v>
      </c>
      <c r="G71" s="166"/>
      <c r="H71" s="166"/>
      <c r="I71" s="166"/>
      <c r="J71" s="33"/>
      <c r="K71" s="33"/>
    </row>
    <row r="72" ht="24.0" customHeight="1">
      <c r="A72" s="36">
        <v>70.0</v>
      </c>
      <c r="B72" s="124" t="s">
        <v>379</v>
      </c>
      <c r="C72" s="165" t="s">
        <v>43</v>
      </c>
      <c r="D72" s="165" t="s">
        <v>98</v>
      </c>
      <c r="E72" s="180"/>
      <c r="F72" s="165" t="s">
        <v>371</v>
      </c>
      <c r="G72" s="166"/>
      <c r="H72" s="166"/>
      <c r="I72" s="166"/>
      <c r="J72" s="33"/>
      <c r="K72" s="33"/>
    </row>
    <row r="73" ht="24.75" customHeight="1">
      <c r="A73" s="36">
        <v>71.0</v>
      </c>
      <c r="B73" s="124" t="s">
        <v>383</v>
      </c>
      <c r="C73" s="165" t="s">
        <v>33</v>
      </c>
      <c r="D73" s="165" t="s">
        <v>33</v>
      </c>
      <c r="E73" s="180"/>
      <c r="F73" s="165" t="s">
        <v>371</v>
      </c>
      <c r="G73" s="166"/>
      <c r="H73" s="166"/>
      <c r="I73" s="166"/>
      <c r="J73" s="33"/>
      <c r="K73" s="33"/>
    </row>
    <row r="74" ht="24.75" customHeight="1">
      <c r="A74" s="36">
        <v>72.0</v>
      </c>
      <c r="B74" s="115" t="s">
        <v>387</v>
      </c>
      <c r="C74" s="165" t="s">
        <v>35</v>
      </c>
      <c r="D74" s="165" t="s">
        <v>35</v>
      </c>
      <c r="E74" s="180"/>
      <c r="F74" s="192">
        <v>46240.0</v>
      </c>
      <c r="G74" s="166"/>
      <c r="H74" s="166"/>
      <c r="I74" s="166"/>
      <c r="J74" s="33"/>
      <c r="K74" s="33"/>
    </row>
    <row r="75" ht="24.75" customHeight="1">
      <c r="A75" s="36">
        <v>73.0</v>
      </c>
      <c r="B75" s="55" t="s">
        <v>391</v>
      </c>
      <c r="C75" s="165" t="s">
        <v>35</v>
      </c>
      <c r="D75" s="165" t="s">
        <v>35</v>
      </c>
      <c r="E75" s="180"/>
      <c r="F75" s="165" t="s">
        <v>296</v>
      </c>
      <c r="G75" s="166"/>
      <c r="H75" s="166"/>
      <c r="I75" s="166"/>
      <c r="J75" s="33"/>
      <c r="K75" s="33"/>
    </row>
    <row r="76" ht="24.75" customHeight="1">
      <c r="A76" s="36">
        <v>74.0</v>
      </c>
      <c r="B76" s="78" t="s">
        <v>392</v>
      </c>
      <c r="C76" s="165" t="s">
        <v>43</v>
      </c>
      <c r="D76" s="165" t="s">
        <v>43</v>
      </c>
      <c r="E76" s="180"/>
      <c r="F76" s="192">
        <v>46240.0</v>
      </c>
      <c r="G76" s="166"/>
      <c r="H76" s="166"/>
      <c r="I76" s="166"/>
      <c r="J76" s="33"/>
      <c r="K76" s="33"/>
    </row>
    <row r="77" ht="24.75" customHeight="1">
      <c r="A77" s="36">
        <v>75.0</v>
      </c>
      <c r="B77" s="55" t="s">
        <v>393</v>
      </c>
      <c r="C77" s="165" t="s">
        <v>98</v>
      </c>
      <c r="D77" s="165" t="s">
        <v>98</v>
      </c>
      <c r="E77" s="180"/>
      <c r="F77" s="192">
        <v>46240.0</v>
      </c>
      <c r="G77" s="166"/>
      <c r="H77" s="166"/>
      <c r="I77" s="166"/>
      <c r="J77" s="33"/>
      <c r="K77" s="33"/>
    </row>
    <row r="78" ht="24.75" customHeight="1">
      <c r="A78" s="36">
        <v>76.0</v>
      </c>
      <c r="B78" s="189" t="s">
        <v>394</v>
      </c>
      <c r="C78" s="165" t="s">
        <v>29</v>
      </c>
      <c r="D78" s="165" t="s">
        <v>29</v>
      </c>
      <c r="E78" s="180"/>
      <c r="F78" s="192">
        <v>46361.0</v>
      </c>
      <c r="G78" s="166"/>
      <c r="H78" s="166"/>
      <c r="I78" s="166"/>
      <c r="J78" s="33"/>
      <c r="K78" s="33"/>
    </row>
    <row r="79" ht="24.75" customHeight="1">
      <c r="A79" s="36">
        <v>77.0</v>
      </c>
      <c r="B79" s="189" t="s">
        <v>395</v>
      </c>
      <c r="C79" s="165" t="s">
        <v>396</v>
      </c>
      <c r="D79" s="165" t="s">
        <v>43</v>
      </c>
      <c r="E79" s="180"/>
      <c r="F79" s="165" t="s">
        <v>371</v>
      </c>
      <c r="G79" s="166"/>
      <c r="H79" s="166"/>
      <c r="I79" s="166"/>
      <c r="J79" s="33"/>
      <c r="K79" s="33"/>
    </row>
    <row r="80">
      <c r="A80" s="36">
        <v>78.0</v>
      </c>
      <c r="B80" s="55" t="s">
        <v>325</v>
      </c>
      <c r="C80" s="124" t="s">
        <v>43</v>
      </c>
      <c r="D80" s="124" t="s">
        <v>43</v>
      </c>
      <c r="E80" s="166"/>
      <c r="F80" s="173">
        <v>46361.0</v>
      </c>
      <c r="G80" s="166"/>
      <c r="H80" s="166"/>
      <c r="I80" s="166"/>
      <c r="J80" s="33"/>
      <c r="K80" s="33"/>
    </row>
    <row r="81">
      <c r="A81" s="36">
        <v>79.0</v>
      </c>
      <c r="B81" s="55" t="s">
        <v>397</v>
      </c>
      <c r="C81" s="124" t="s">
        <v>33</v>
      </c>
      <c r="D81" s="124" t="s">
        <v>33</v>
      </c>
      <c r="E81" s="166"/>
      <c r="F81" s="173">
        <v>46362.0</v>
      </c>
      <c r="G81" s="166"/>
      <c r="H81" s="166"/>
      <c r="I81" s="166"/>
      <c r="J81" s="33"/>
      <c r="K81" s="33"/>
    </row>
    <row r="82">
      <c r="A82" s="36">
        <v>80.0</v>
      </c>
      <c r="B82" s="55" t="s">
        <v>398</v>
      </c>
      <c r="C82" s="124" t="s">
        <v>98</v>
      </c>
      <c r="D82" s="124" t="s">
        <v>98</v>
      </c>
      <c r="E82" s="166"/>
      <c r="F82" s="124" t="s">
        <v>326</v>
      </c>
      <c r="G82" s="166"/>
      <c r="H82" s="166"/>
      <c r="I82" s="166"/>
      <c r="J82" s="33"/>
      <c r="K82" s="33"/>
    </row>
    <row r="83">
      <c r="A83" s="36">
        <v>81.0</v>
      </c>
      <c r="B83" s="194" t="s">
        <v>68</v>
      </c>
      <c r="C83" s="124" t="s">
        <v>35</v>
      </c>
      <c r="D83" s="124" t="s">
        <v>69</v>
      </c>
      <c r="E83" s="166"/>
      <c r="F83" s="124" t="s">
        <v>326</v>
      </c>
      <c r="G83" s="166"/>
      <c r="H83" s="166"/>
      <c r="I83" s="166"/>
      <c r="J83" s="33"/>
      <c r="K83" s="33"/>
    </row>
    <row r="84">
      <c r="A84" s="36">
        <v>82.0</v>
      </c>
      <c r="B84" s="55" t="s">
        <v>399</v>
      </c>
      <c r="C84" s="124" t="s">
        <v>35</v>
      </c>
      <c r="D84" s="124" t="s">
        <v>35</v>
      </c>
      <c r="E84" s="166"/>
      <c r="F84" s="124" t="s">
        <v>61</v>
      </c>
      <c r="G84" s="166"/>
      <c r="H84" s="166"/>
      <c r="I84" s="166"/>
      <c r="J84" s="33"/>
      <c r="K84" s="33"/>
    </row>
    <row r="85">
      <c r="A85" s="36">
        <v>83.0</v>
      </c>
      <c r="B85" s="55" t="s">
        <v>400</v>
      </c>
      <c r="C85" s="124" t="s">
        <v>77</v>
      </c>
      <c r="D85" s="124" t="s">
        <v>77</v>
      </c>
      <c r="E85" s="166"/>
      <c r="F85" s="173">
        <v>46332.0</v>
      </c>
      <c r="G85" s="166"/>
      <c r="H85" s="166"/>
      <c r="I85" s="166"/>
      <c r="J85" s="33"/>
      <c r="K85" s="33"/>
    </row>
    <row r="86">
      <c r="A86" s="36">
        <v>84.0</v>
      </c>
      <c r="B86" s="38" t="s">
        <v>401</v>
      </c>
      <c r="C86" s="124" t="s">
        <v>33</v>
      </c>
      <c r="D86" s="124" t="s">
        <v>33</v>
      </c>
      <c r="E86" s="166"/>
      <c r="F86" s="124" t="s">
        <v>335</v>
      </c>
      <c r="G86" s="166"/>
      <c r="H86" s="166"/>
      <c r="I86" s="166"/>
      <c r="J86" s="33"/>
      <c r="K86" s="33"/>
    </row>
    <row r="87">
      <c r="A87" s="36">
        <v>85.0</v>
      </c>
      <c r="B87" s="55" t="s">
        <v>402</v>
      </c>
      <c r="C87" s="111" t="s">
        <v>33</v>
      </c>
      <c r="D87" s="55" t="s">
        <v>33</v>
      </c>
      <c r="E87" s="59"/>
      <c r="F87" s="59"/>
      <c r="G87" s="59"/>
      <c r="H87" s="59"/>
      <c r="I87" s="166"/>
      <c r="J87" s="33"/>
      <c r="K87" s="33"/>
    </row>
    <row r="88">
      <c r="A88" s="36">
        <v>86.0</v>
      </c>
      <c r="B88" s="55" t="s">
        <v>403</v>
      </c>
      <c r="C88" s="111" t="s">
        <v>35</v>
      </c>
      <c r="D88" s="55" t="s">
        <v>35</v>
      </c>
      <c r="E88" s="59"/>
      <c r="F88" s="59"/>
      <c r="G88" s="59"/>
      <c r="H88" s="59"/>
      <c r="I88" s="166"/>
      <c r="J88" s="33"/>
      <c r="K88" s="33"/>
    </row>
    <row r="89">
      <c r="A89" s="36">
        <v>87.0</v>
      </c>
      <c r="B89" s="55" t="s">
        <v>404</v>
      </c>
      <c r="C89" s="55" t="s">
        <v>98</v>
      </c>
      <c r="D89" s="55" t="s">
        <v>98</v>
      </c>
      <c r="E89" s="59"/>
      <c r="F89" s="59"/>
      <c r="G89" s="59"/>
      <c r="H89" s="59"/>
      <c r="I89" s="166"/>
      <c r="J89" s="33"/>
      <c r="K89" s="33"/>
    </row>
    <row r="90">
      <c r="A90" s="36">
        <v>88.0</v>
      </c>
      <c r="B90" s="195" t="s">
        <v>405</v>
      </c>
      <c r="C90" s="55" t="s">
        <v>33</v>
      </c>
      <c r="D90" s="55" t="s">
        <v>33</v>
      </c>
      <c r="E90" s="59"/>
      <c r="F90" s="56">
        <v>46241.0</v>
      </c>
      <c r="G90" s="59"/>
      <c r="H90" s="59"/>
      <c r="I90" s="166"/>
      <c r="J90" s="33"/>
      <c r="K90" s="33"/>
    </row>
    <row r="91">
      <c r="A91" s="36">
        <v>89.0</v>
      </c>
      <c r="B91" s="55" t="s">
        <v>406</v>
      </c>
      <c r="C91" s="55" t="s">
        <v>33</v>
      </c>
      <c r="D91" s="55" t="s">
        <v>33</v>
      </c>
      <c r="E91" s="59"/>
      <c r="F91" s="56">
        <v>46241.0</v>
      </c>
      <c r="G91" s="59"/>
      <c r="H91" s="59"/>
      <c r="I91" s="166"/>
      <c r="J91" s="33"/>
      <c r="K91" s="33"/>
    </row>
    <row r="92">
      <c r="A92" s="36">
        <v>90.0</v>
      </c>
      <c r="B92" s="55" t="s">
        <v>407</v>
      </c>
      <c r="C92" s="55" t="s">
        <v>98</v>
      </c>
      <c r="D92" s="55" t="s">
        <v>98</v>
      </c>
      <c r="E92" s="59"/>
      <c r="F92" s="56">
        <v>46273.0</v>
      </c>
      <c r="G92" s="59"/>
      <c r="H92" s="59"/>
      <c r="I92" s="166"/>
      <c r="J92" s="33"/>
      <c r="K92" s="33"/>
    </row>
    <row r="93">
      <c r="A93" s="36">
        <v>91.0</v>
      </c>
      <c r="B93" s="55" t="s">
        <v>408</v>
      </c>
      <c r="C93" s="55" t="s">
        <v>55</v>
      </c>
      <c r="D93" s="55" t="s">
        <v>29</v>
      </c>
      <c r="E93" s="59"/>
      <c r="F93" s="56">
        <v>46273.0</v>
      </c>
      <c r="G93" s="59"/>
      <c r="H93" s="59"/>
      <c r="I93" s="166"/>
      <c r="J93" s="33"/>
      <c r="K93" s="33"/>
    </row>
    <row r="94">
      <c r="A94" s="36">
        <v>92.0</v>
      </c>
      <c r="B94" s="55" t="s">
        <v>409</v>
      </c>
      <c r="C94" s="55" t="s">
        <v>43</v>
      </c>
      <c r="D94" s="55" t="s">
        <v>43</v>
      </c>
      <c r="E94" s="59"/>
      <c r="F94" s="55" t="s">
        <v>410</v>
      </c>
      <c r="G94" s="59"/>
      <c r="H94" s="59"/>
      <c r="I94" s="166"/>
      <c r="J94" s="33"/>
      <c r="K94" s="33"/>
    </row>
    <row r="95">
      <c r="A95" s="36">
        <v>93.0</v>
      </c>
      <c r="B95" s="55" t="s">
        <v>411</v>
      </c>
      <c r="C95" s="55" t="s">
        <v>33</v>
      </c>
      <c r="D95" s="55" t="s">
        <v>33</v>
      </c>
      <c r="E95" s="59"/>
      <c r="F95" s="55" t="s">
        <v>412</v>
      </c>
      <c r="G95" s="59"/>
      <c r="H95" s="59"/>
      <c r="I95" s="166"/>
      <c r="J95" s="33"/>
      <c r="K95" s="33"/>
    </row>
    <row r="96">
      <c r="A96" s="36">
        <v>94.0</v>
      </c>
      <c r="B96" s="55" t="s">
        <v>380</v>
      </c>
      <c r="C96" s="55" t="s">
        <v>413</v>
      </c>
      <c r="D96" s="59"/>
      <c r="E96" s="59"/>
      <c r="F96" s="59"/>
      <c r="G96" s="111" t="s">
        <v>58</v>
      </c>
      <c r="H96" s="59"/>
      <c r="I96" s="166"/>
      <c r="J96" s="33"/>
      <c r="K96" s="33"/>
    </row>
    <row r="97">
      <c r="A97" s="36">
        <v>95.0</v>
      </c>
      <c r="B97" s="55" t="s">
        <v>384</v>
      </c>
      <c r="C97" s="55" t="s">
        <v>385</v>
      </c>
      <c r="D97" s="59"/>
      <c r="E97" s="59"/>
      <c r="F97" s="59"/>
      <c r="G97" s="111" t="s">
        <v>414</v>
      </c>
      <c r="H97" s="59"/>
      <c r="I97" s="166"/>
      <c r="J97" s="33"/>
      <c r="K97" s="33"/>
    </row>
    <row r="98">
      <c r="A98" s="36">
        <v>96.0</v>
      </c>
      <c r="B98" s="55" t="s">
        <v>388</v>
      </c>
      <c r="C98" s="55" t="s">
        <v>188</v>
      </c>
      <c r="D98" s="59"/>
      <c r="E98" s="59"/>
      <c r="F98" s="59"/>
      <c r="G98" s="111" t="s">
        <v>415</v>
      </c>
      <c r="H98" s="59"/>
      <c r="I98" s="166"/>
      <c r="J98" s="33"/>
      <c r="K98" s="33"/>
    </row>
    <row r="99">
      <c r="A99" s="36">
        <v>97.0</v>
      </c>
      <c r="B99" s="196" t="s">
        <v>416</v>
      </c>
      <c r="C99" s="197" t="s">
        <v>417</v>
      </c>
      <c r="D99" s="197" t="s">
        <v>417</v>
      </c>
      <c r="E99" s="198"/>
      <c r="F99" s="166"/>
      <c r="G99" s="166"/>
      <c r="H99" s="166"/>
      <c r="I99" s="166"/>
      <c r="J99" s="33"/>
      <c r="K99" s="33"/>
    </row>
    <row r="100">
      <c r="A100" s="36">
        <v>98.0</v>
      </c>
      <c r="B100" s="199" t="s">
        <v>418</v>
      </c>
      <c r="C100" s="197" t="s">
        <v>35</v>
      </c>
      <c r="D100" s="197" t="s">
        <v>419</v>
      </c>
      <c r="E100" s="200"/>
      <c r="F100" s="55" t="s">
        <v>412</v>
      </c>
      <c r="G100" s="166"/>
      <c r="H100" s="166"/>
      <c r="I100" s="166"/>
      <c r="J100" s="33"/>
      <c r="K100" s="33"/>
    </row>
    <row r="101">
      <c r="A101" s="36">
        <v>99.0</v>
      </c>
      <c r="B101" s="199" t="s">
        <v>420</v>
      </c>
      <c r="C101" s="197" t="s">
        <v>385</v>
      </c>
      <c r="D101" s="197" t="s">
        <v>247</v>
      </c>
      <c r="E101" s="200"/>
      <c r="F101" s="55" t="s">
        <v>412</v>
      </c>
      <c r="G101" s="166"/>
      <c r="H101" s="166"/>
      <c r="I101" s="166"/>
      <c r="J101" s="33"/>
      <c r="K101" s="33"/>
    </row>
    <row r="102">
      <c r="A102" s="36">
        <v>100.0</v>
      </c>
      <c r="B102" s="199" t="s">
        <v>421</v>
      </c>
      <c r="C102" s="197"/>
      <c r="D102" s="197"/>
      <c r="E102" s="200" t="s">
        <v>307</v>
      </c>
      <c r="F102" s="166"/>
      <c r="G102" s="166"/>
      <c r="H102" s="166"/>
      <c r="I102" s="166"/>
      <c r="J102" s="33"/>
      <c r="K102" s="33"/>
    </row>
    <row r="103">
      <c r="A103" s="36">
        <v>101.0</v>
      </c>
      <c r="B103" s="196" t="s">
        <v>422</v>
      </c>
      <c r="C103" s="197"/>
      <c r="D103" s="197"/>
      <c r="E103" s="200"/>
      <c r="F103" s="55" t="s">
        <v>423</v>
      </c>
      <c r="G103" s="166"/>
      <c r="H103" s="166"/>
      <c r="I103" s="166"/>
      <c r="J103" s="33"/>
      <c r="K103" s="33"/>
    </row>
    <row r="104">
      <c r="A104" s="36">
        <v>102.0</v>
      </c>
      <c r="B104" s="55" t="s">
        <v>424</v>
      </c>
      <c r="C104" s="47" t="s">
        <v>29</v>
      </c>
      <c r="D104" s="47" t="s">
        <v>29</v>
      </c>
      <c r="E104" s="55"/>
      <c r="F104" s="55" t="s">
        <v>425</v>
      </c>
      <c r="G104" s="166"/>
      <c r="H104" s="166"/>
      <c r="I104" s="166"/>
      <c r="J104" s="33"/>
      <c r="K104" s="33"/>
    </row>
    <row r="105">
      <c r="A105" s="36">
        <v>103.0</v>
      </c>
      <c r="B105" s="55" t="s">
        <v>426</v>
      </c>
      <c r="C105" s="47" t="s">
        <v>35</v>
      </c>
      <c r="D105" s="47" t="s">
        <v>35</v>
      </c>
      <c r="E105" s="55"/>
      <c r="F105" s="55" t="s">
        <v>427</v>
      </c>
      <c r="G105" s="166"/>
      <c r="H105" s="166"/>
      <c r="I105" s="166"/>
    </row>
    <row r="106">
      <c r="A106" s="36">
        <v>104.0</v>
      </c>
      <c r="B106" s="55" t="s">
        <v>428</v>
      </c>
      <c r="C106" s="47" t="s">
        <v>98</v>
      </c>
      <c r="D106" s="47" t="s">
        <v>98</v>
      </c>
      <c r="E106" s="55"/>
      <c r="F106" s="55" t="s">
        <v>429</v>
      </c>
      <c r="G106" s="166"/>
      <c r="H106" s="166"/>
      <c r="I106" s="166"/>
    </row>
    <row r="107">
      <c r="A107" s="36">
        <v>105.0</v>
      </c>
      <c r="B107" s="55" t="s">
        <v>430</v>
      </c>
      <c r="C107" s="111" t="s">
        <v>35</v>
      </c>
      <c r="D107" s="111" t="s">
        <v>35</v>
      </c>
      <c r="E107" s="55"/>
      <c r="F107" s="55" t="s">
        <v>431</v>
      </c>
      <c r="G107" s="166"/>
      <c r="H107" s="166"/>
      <c r="I107" s="166"/>
    </row>
    <row r="108">
      <c r="A108" s="36">
        <v>106.0</v>
      </c>
      <c r="B108" s="55" t="s">
        <v>432</v>
      </c>
      <c r="C108" s="47" t="s">
        <v>33</v>
      </c>
      <c r="D108" s="54"/>
      <c r="E108" s="82"/>
      <c r="F108" s="76" t="s">
        <v>135</v>
      </c>
      <c r="G108" s="201"/>
      <c r="H108" s="166"/>
      <c r="I108" s="166"/>
    </row>
    <row r="109">
      <c r="A109" s="36">
        <v>107.0</v>
      </c>
      <c r="B109" s="202" t="s">
        <v>433</v>
      </c>
      <c r="C109" s="91" t="s">
        <v>35</v>
      </c>
      <c r="D109" s="94"/>
      <c r="E109" s="201"/>
      <c r="F109" s="76" t="s">
        <v>434</v>
      </c>
      <c r="G109" s="201"/>
      <c r="H109" s="201"/>
      <c r="I109" s="201"/>
    </row>
    <row r="110">
      <c r="A110" s="36">
        <v>108.0</v>
      </c>
      <c r="B110" s="91" t="s">
        <v>435</v>
      </c>
      <c r="C110" s="91" t="s">
        <v>163</v>
      </c>
      <c r="D110" s="94"/>
      <c r="E110" s="201"/>
      <c r="F110" s="201"/>
      <c r="G110" s="201"/>
      <c r="H110" s="201"/>
      <c r="I110" s="201"/>
    </row>
  </sheetData>
  <mergeCells count="1">
    <mergeCell ref="B1:C1"/>
  </mergeCells>
  <dataValidations>
    <dataValidation type="list" allowBlank="1" showErrorMessage="1" sqref="C3:C79">
      <formula1>"Prince,Daniel,Charles,Charlse,Colmore,Colleen,Prince, Colmore,Hardlife,Makuyana,Daniel/Colmore,Petros"</formula1>
    </dataValidation>
    <dataValidation type="list" allowBlank="1" showErrorMessage="1" sqref="D3:D79">
      <formula1>"Prince,Daniel,Charles,Colleen,Colmore,n/a,Tender,Shephard ,Petros,Hardlife,Makuyana"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0.88"/>
    <col customWidth="1" min="3" max="4" width="17.25"/>
    <col customWidth="1" min="5" max="5" width="11.13"/>
    <col customWidth="1" min="6" max="6" width="21.63"/>
    <col customWidth="1" min="7" max="7" width="17.38"/>
    <col customWidth="1" min="8" max="8" width="23.25"/>
    <col customWidth="1" min="9" max="9" width="17.13"/>
    <col customWidth="1" min="10" max="10" width="17.0"/>
  </cols>
  <sheetData>
    <row r="1">
      <c r="A1" s="1"/>
      <c r="B1" s="3" t="s">
        <v>1</v>
      </c>
      <c r="C1" s="5"/>
      <c r="D1" s="8"/>
      <c r="E1" s="8"/>
      <c r="F1" s="8"/>
      <c r="G1" s="17"/>
      <c r="H1" s="20"/>
      <c r="I1" s="8"/>
      <c r="J1" s="8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30"/>
      <c r="B2" s="31"/>
      <c r="C2" s="34" t="s">
        <v>10</v>
      </c>
      <c r="D2" s="37" t="s">
        <v>17</v>
      </c>
      <c r="E2" s="39"/>
      <c r="F2" s="41" t="s">
        <v>20</v>
      </c>
      <c r="G2" s="42" t="s">
        <v>23</v>
      </c>
      <c r="H2" s="26" t="s">
        <v>24</v>
      </c>
      <c r="I2" s="43" t="s">
        <v>16</v>
      </c>
      <c r="J2" s="45" t="s">
        <v>27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ht="54.0" customHeight="1">
      <c r="A3" s="49">
        <v>1.0</v>
      </c>
      <c r="B3" s="38" t="s">
        <v>32</v>
      </c>
      <c r="C3" s="52" t="s">
        <v>35</v>
      </c>
      <c r="D3" s="55" t="s">
        <v>35</v>
      </c>
      <c r="E3" s="56"/>
      <c r="F3" s="59"/>
      <c r="G3" s="60"/>
      <c r="H3" s="61"/>
      <c r="I3" s="63"/>
      <c r="J3" s="64"/>
      <c r="K3" s="65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ht="54.0" customHeight="1">
      <c r="A4" s="49">
        <v>2.0</v>
      </c>
      <c r="B4" s="55" t="s">
        <v>44</v>
      </c>
      <c r="C4" s="52" t="s">
        <v>33</v>
      </c>
      <c r="D4" s="55" t="s">
        <v>46</v>
      </c>
      <c r="E4" s="56"/>
      <c r="F4" s="59"/>
      <c r="G4" s="60"/>
      <c r="H4" s="61"/>
      <c r="I4" s="63"/>
      <c r="J4" s="64"/>
      <c r="K4" s="6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ht="54.0" customHeight="1">
      <c r="A5" s="49">
        <v>3.0</v>
      </c>
      <c r="B5" s="55" t="s">
        <v>53</v>
      </c>
      <c r="C5" s="52" t="s">
        <v>54</v>
      </c>
      <c r="D5" s="55" t="s">
        <v>55</v>
      </c>
      <c r="E5" s="56"/>
      <c r="F5" s="59"/>
      <c r="G5" s="60"/>
      <c r="H5" s="61"/>
      <c r="I5" s="63"/>
      <c r="J5" s="64"/>
      <c r="K5" s="65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ht="54.0" customHeight="1">
      <c r="A6" s="49">
        <v>4.0</v>
      </c>
      <c r="B6" s="55" t="s">
        <v>60</v>
      </c>
      <c r="C6" s="52" t="s">
        <v>54</v>
      </c>
      <c r="D6" s="55" t="s">
        <v>55</v>
      </c>
      <c r="E6" s="56"/>
      <c r="F6" s="59"/>
      <c r="G6" s="60"/>
      <c r="H6" s="61"/>
      <c r="I6" s="63"/>
      <c r="J6" s="64"/>
      <c r="K6" s="65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ht="54.0" customHeight="1">
      <c r="A7" s="49">
        <v>5.0</v>
      </c>
      <c r="B7" s="55" t="s">
        <v>64</v>
      </c>
      <c r="C7" s="52" t="s">
        <v>54</v>
      </c>
      <c r="D7" s="55" t="s">
        <v>55</v>
      </c>
      <c r="E7" s="56"/>
      <c r="F7" s="59"/>
      <c r="G7" s="60"/>
      <c r="H7" s="61"/>
      <c r="I7" s="63"/>
      <c r="J7" s="64"/>
      <c r="K7" s="65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ht="54.0" customHeight="1">
      <c r="A8" s="49">
        <v>6.0</v>
      </c>
      <c r="B8" s="55" t="s">
        <v>70</v>
      </c>
      <c r="C8" s="52" t="s">
        <v>55</v>
      </c>
      <c r="D8" s="55" t="s">
        <v>55</v>
      </c>
      <c r="E8" s="56"/>
      <c r="F8" s="59"/>
      <c r="G8" s="60"/>
      <c r="H8" s="61"/>
      <c r="I8" s="63"/>
      <c r="J8" s="64"/>
      <c r="K8" s="65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ht="54.0" customHeight="1">
      <c r="A9" s="49">
        <v>7.0</v>
      </c>
      <c r="B9" s="55" t="s">
        <v>78</v>
      </c>
      <c r="C9" s="52" t="s">
        <v>43</v>
      </c>
      <c r="D9" s="55" t="s">
        <v>43</v>
      </c>
      <c r="E9" s="56"/>
      <c r="F9" s="59"/>
      <c r="G9" s="60"/>
      <c r="H9" s="61"/>
      <c r="I9" s="63"/>
      <c r="J9" s="64"/>
      <c r="K9" s="65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ht="54.0" customHeight="1">
      <c r="A10" s="49">
        <v>8.0</v>
      </c>
      <c r="B10" s="55" t="s">
        <v>83</v>
      </c>
      <c r="C10" s="52" t="s">
        <v>33</v>
      </c>
      <c r="D10" s="55" t="s">
        <v>46</v>
      </c>
      <c r="E10" s="56"/>
      <c r="F10" s="59"/>
      <c r="G10" s="60"/>
      <c r="H10" s="61"/>
      <c r="I10" s="63"/>
      <c r="J10" s="64"/>
      <c r="K10" s="65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t="54.0" customHeight="1">
      <c r="A11" s="49">
        <v>9.0</v>
      </c>
      <c r="B11" s="55" t="s">
        <v>89</v>
      </c>
      <c r="C11" s="52" t="s">
        <v>33</v>
      </c>
      <c r="D11" s="55" t="s">
        <v>46</v>
      </c>
      <c r="E11" s="56"/>
      <c r="F11" s="59"/>
      <c r="G11" s="60"/>
      <c r="H11" s="61"/>
      <c r="I11" s="63"/>
      <c r="J11" s="64"/>
      <c r="K11" s="65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ht="54.0" customHeight="1">
      <c r="A12" s="49">
        <v>10.0</v>
      </c>
      <c r="B12" s="55" t="s">
        <v>93</v>
      </c>
      <c r="C12" s="52" t="s">
        <v>35</v>
      </c>
      <c r="D12" s="55" t="s">
        <v>35</v>
      </c>
      <c r="E12" s="56"/>
      <c r="F12" s="59"/>
      <c r="G12" s="60">
        <v>46148.0</v>
      </c>
      <c r="H12" s="61"/>
      <c r="I12" s="63"/>
      <c r="J12" s="64"/>
      <c r="K12" s="65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ht="54.0" customHeight="1">
      <c r="A13" s="49">
        <v>11.0</v>
      </c>
      <c r="B13" s="78" t="s">
        <v>97</v>
      </c>
      <c r="C13" s="82" t="s">
        <v>98</v>
      </c>
      <c r="D13" s="47" t="s">
        <v>98</v>
      </c>
      <c r="E13" s="47"/>
      <c r="F13" s="84"/>
      <c r="G13" s="47"/>
      <c r="H13" s="61"/>
      <c r="I13" s="63"/>
      <c r="J13" s="64"/>
      <c r="K13" s="65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ht="54.0" customHeight="1">
      <c r="A14" s="49">
        <v>12.0</v>
      </c>
      <c r="B14" s="78" t="s">
        <v>102</v>
      </c>
      <c r="C14" s="82" t="s">
        <v>43</v>
      </c>
      <c r="D14" s="47" t="s">
        <v>43</v>
      </c>
      <c r="E14" s="47"/>
      <c r="F14" s="84"/>
      <c r="G14" s="47"/>
      <c r="H14" s="61"/>
      <c r="I14" s="63"/>
      <c r="J14" s="64"/>
      <c r="K14" s="65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ht="54.0" customHeight="1">
      <c r="A15" s="49">
        <v>13.0</v>
      </c>
      <c r="B15" s="78" t="s">
        <v>107</v>
      </c>
      <c r="C15" s="82" t="s">
        <v>98</v>
      </c>
      <c r="D15" s="47" t="s">
        <v>108</v>
      </c>
      <c r="E15" s="47" t="s">
        <v>31</v>
      </c>
      <c r="F15" s="84"/>
      <c r="G15" s="47" t="s">
        <v>110</v>
      </c>
      <c r="H15" s="61" t="s">
        <v>67</v>
      </c>
      <c r="I15" s="63" t="s">
        <v>41</v>
      </c>
      <c r="J15" s="64"/>
      <c r="K15" s="65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57.0" customHeight="1">
      <c r="A16" s="49">
        <v>14.0</v>
      </c>
      <c r="B16" s="78" t="s">
        <v>113</v>
      </c>
      <c r="C16" s="84" t="s">
        <v>33</v>
      </c>
      <c r="D16" s="57" t="s">
        <v>115</v>
      </c>
      <c r="E16" s="57" t="s">
        <v>31</v>
      </c>
      <c r="F16" s="82" t="s">
        <v>117</v>
      </c>
      <c r="G16" s="93">
        <v>46056.0</v>
      </c>
      <c r="H16" s="54" t="s">
        <v>67</v>
      </c>
      <c r="I16" s="95" t="s">
        <v>120</v>
      </c>
      <c r="J16" s="8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ht="49.5" customHeight="1">
      <c r="A17" s="49">
        <v>15.0</v>
      </c>
      <c r="B17" s="78" t="s">
        <v>124</v>
      </c>
      <c r="C17" s="100" t="s">
        <v>115</v>
      </c>
      <c r="D17" s="101" t="s">
        <v>108</v>
      </c>
      <c r="E17" s="101" t="s">
        <v>31</v>
      </c>
      <c r="F17" s="82"/>
      <c r="G17" s="47" t="s">
        <v>126</v>
      </c>
      <c r="H17" s="47" t="s">
        <v>67</v>
      </c>
      <c r="I17" s="63" t="s">
        <v>128</v>
      </c>
      <c r="J17" s="10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ht="49.5" customHeight="1">
      <c r="A18" s="49">
        <v>16.0</v>
      </c>
      <c r="B18" s="78" t="s">
        <v>137</v>
      </c>
      <c r="C18" s="100" t="s">
        <v>35</v>
      </c>
      <c r="D18" s="101" t="s">
        <v>108</v>
      </c>
      <c r="E18" s="101" t="s">
        <v>31</v>
      </c>
      <c r="F18" s="82"/>
      <c r="G18" s="47" t="s">
        <v>141</v>
      </c>
      <c r="H18" s="47" t="s">
        <v>67</v>
      </c>
      <c r="I18" s="63" t="s">
        <v>128</v>
      </c>
      <c r="J18" s="10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ht="50.25" customHeight="1">
      <c r="A19" s="49">
        <v>17.0</v>
      </c>
      <c r="B19" s="55" t="s">
        <v>146</v>
      </c>
      <c r="C19" s="52" t="s">
        <v>43</v>
      </c>
      <c r="D19" s="55" t="s">
        <v>108</v>
      </c>
      <c r="E19" s="55" t="s">
        <v>31</v>
      </c>
      <c r="F19" s="52"/>
      <c r="G19" s="111" t="s">
        <v>152</v>
      </c>
      <c r="H19" s="111" t="s">
        <v>67</v>
      </c>
      <c r="I19" s="112" t="s">
        <v>128</v>
      </c>
      <c r="J19" s="113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ht="50.25" customHeight="1">
      <c r="A20" s="49">
        <v>18.0</v>
      </c>
      <c r="B20" s="115" t="s">
        <v>160</v>
      </c>
      <c r="C20" s="52" t="s">
        <v>98</v>
      </c>
      <c r="D20" s="55" t="s">
        <v>98</v>
      </c>
      <c r="E20" s="55" t="s">
        <v>31</v>
      </c>
      <c r="F20" s="52" t="s">
        <v>164</v>
      </c>
      <c r="G20" s="111" t="s">
        <v>166</v>
      </c>
      <c r="H20" s="111" t="s">
        <v>67</v>
      </c>
      <c r="I20" s="112" t="s">
        <v>128</v>
      </c>
      <c r="J20" s="113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ht="46.5" customHeight="1">
      <c r="A21" s="49">
        <v>19.0</v>
      </c>
      <c r="B21" s="55" t="s">
        <v>171</v>
      </c>
      <c r="C21" s="52" t="s">
        <v>43</v>
      </c>
      <c r="D21" s="55" t="s">
        <v>98</v>
      </c>
      <c r="E21" s="55" t="s">
        <v>31</v>
      </c>
      <c r="F21" s="52" t="s">
        <v>175</v>
      </c>
      <c r="G21" s="120">
        <v>46239.0</v>
      </c>
      <c r="H21" s="111" t="s">
        <v>67</v>
      </c>
      <c r="I21" s="112" t="s">
        <v>41</v>
      </c>
      <c r="J21" s="11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ht="52.5" customHeight="1">
      <c r="A22" s="49">
        <v>20.0</v>
      </c>
      <c r="B22" s="55" t="s">
        <v>183</v>
      </c>
      <c r="C22" s="52" t="s">
        <v>29</v>
      </c>
      <c r="D22" s="55" t="s">
        <v>43</v>
      </c>
      <c r="E22" s="55" t="s">
        <v>31</v>
      </c>
      <c r="F22" s="55" t="s">
        <v>186</v>
      </c>
      <c r="G22" s="120">
        <v>46331.0</v>
      </c>
      <c r="H22" s="111" t="s">
        <v>67</v>
      </c>
      <c r="I22" s="112" t="s">
        <v>41</v>
      </c>
      <c r="J22" s="11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ht="51.75" customHeight="1">
      <c r="A23" s="49">
        <v>21.0</v>
      </c>
      <c r="B23" s="124" t="s">
        <v>192</v>
      </c>
      <c r="C23" s="52" t="s">
        <v>115</v>
      </c>
      <c r="D23" s="55" t="s">
        <v>108</v>
      </c>
      <c r="E23" s="55" t="s">
        <v>31</v>
      </c>
      <c r="F23" s="55" t="s">
        <v>197</v>
      </c>
      <c r="G23" s="120">
        <v>46361.0</v>
      </c>
      <c r="H23" s="111" t="s">
        <v>67</v>
      </c>
      <c r="I23" s="112" t="s">
        <v>41</v>
      </c>
      <c r="J23" s="113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ht="48.75" customHeight="1">
      <c r="A24" s="49">
        <v>22.0</v>
      </c>
      <c r="B24" s="124" t="s">
        <v>200</v>
      </c>
      <c r="C24" s="52" t="s">
        <v>29</v>
      </c>
      <c r="D24" s="55" t="s">
        <v>29</v>
      </c>
      <c r="E24" s="55" t="s">
        <v>31</v>
      </c>
      <c r="F24" s="55" t="s">
        <v>164</v>
      </c>
      <c r="G24" s="120">
        <v>46361.0</v>
      </c>
      <c r="H24" s="111" t="s">
        <v>67</v>
      </c>
      <c r="I24" s="112" t="s">
        <v>41</v>
      </c>
      <c r="J24" s="11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ht="48.75" customHeight="1">
      <c r="A25" s="49">
        <v>23.0</v>
      </c>
      <c r="B25" s="127" t="s">
        <v>208</v>
      </c>
      <c r="C25" s="129" t="s">
        <v>33</v>
      </c>
      <c r="D25" s="55" t="s">
        <v>46</v>
      </c>
      <c r="E25" s="55" t="s">
        <v>31</v>
      </c>
      <c r="F25" s="55" t="s">
        <v>214</v>
      </c>
      <c r="G25" s="111" t="s">
        <v>215</v>
      </c>
      <c r="H25" s="111" t="s">
        <v>216</v>
      </c>
      <c r="I25" s="112" t="s">
        <v>41</v>
      </c>
      <c r="J25" s="11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ht="46.5" customHeight="1">
      <c r="A26" s="49">
        <v>24.0</v>
      </c>
      <c r="B26" s="55" t="s">
        <v>221</v>
      </c>
      <c r="C26" s="52" t="s">
        <v>98</v>
      </c>
      <c r="D26" s="55" t="s">
        <v>108</v>
      </c>
      <c r="E26" s="55" t="s">
        <v>31</v>
      </c>
      <c r="F26" s="55" t="s">
        <v>214</v>
      </c>
      <c r="G26" s="111" t="s">
        <v>215</v>
      </c>
      <c r="H26" s="111" t="s">
        <v>216</v>
      </c>
      <c r="I26" s="112" t="s">
        <v>41</v>
      </c>
      <c r="J26" s="11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ht="44.25" customHeight="1">
      <c r="A27" s="49">
        <v>25.0</v>
      </c>
      <c r="B27" s="55" t="s">
        <v>239</v>
      </c>
      <c r="C27" s="52" t="s">
        <v>115</v>
      </c>
      <c r="D27" s="55" t="s">
        <v>108</v>
      </c>
      <c r="E27" s="55" t="s">
        <v>31</v>
      </c>
      <c r="F27" s="55" t="s">
        <v>214</v>
      </c>
      <c r="G27" s="111" t="s">
        <v>248</v>
      </c>
      <c r="H27" s="111" t="s">
        <v>216</v>
      </c>
      <c r="I27" s="112" t="s">
        <v>41</v>
      </c>
      <c r="J27" s="11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ht="44.25" customHeight="1">
      <c r="A28" s="49">
        <v>26.0</v>
      </c>
      <c r="B28" s="141" t="s">
        <v>254</v>
      </c>
      <c r="C28" s="142" t="s">
        <v>33</v>
      </c>
      <c r="D28" s="141" t="s">
        <v>46</v>
      </c>
      <c r="E28" s="141" t="s">
        <v>31</v>
      </c>
      <c r="F28" s="141" t="s">
        <v>258</v>
      </c>
      <c r="G28" s="145">
        <v>46331.0</v>
      </c>
      <c r="H28" s="146" t="s">
        <v>216</v>
      </c>
      <c r="I28" s="147" t="s">
        <v>41</v>
      </c>
      <c r="J28" s="148" t="s">
        <v>261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ht="48.0" customHeight="1">
      <c r="A29" s="49">
        <v>27.0</v>
      </c>
      <c r="B29" s="115" t="s">
        <v>265</v>
      </c>
      <c r="C29" s="52" t="s">
        <v>98</v>
      </c>
      <c r="D29" s="55" t="s">
        <v>98</v>
      </c>
      <c r="E29" s="55" t="s">
        <v>31</v>
      </c>
      <c r="F29" s="55" t="s">
        <v>268</v>
      </c>
      <c r="G29" s="111" t="s">
        <v>271</v>
      </c>
      <c r="H29" s="111" t="s">
        <v>216</v>
      </c>
      <c r="I29" s="112" t="s">
        <v>41</v>
      </c>
      <c r="J29" s="11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ht="38.25" customHeight="1">
      <c r="A30" s="49">
        <v>28.0</v>
      </c>
      <c r="B30" s="141" t="s">
        <v>276</v>
      </c>
      <c r="C30" s="142" t="s">
        <v>115</v>
      </c>
      <c r="D30" s="141" t="s">
        <v>43</v>
      </c>
      <c r="E30" s="141" t="s">
        <v>31</v>
      </c>
      <c r="F30" s="141" t="s">
        <v>268</v>
      </c>
      <c r="G30" s="145">
        <v>46239.0</v>
      </c>
      <c r="H30" s="151"/>
      <c r="I30" s="147" t="s">
        <v>41</v>
      </c>
      <c r="J30" s="148" t="s">
        <v>279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ht="41.25" customHeight="1">
      <c r="A31" s="49">
        <v>29.0</v>
      </c>
      <c r="B31" s="141" t="s">
        <v>285</v>
      </c>
      <c r="C31" s="142" t="s">
        <v>33</v>
      </c>
      <c r="D31" s="141" t="s">
        <v>46</v>
      </c>
      <c r="E31" s="141" t="s">
        <v>31</v>
      </c>
      <c r="F31" s="141" t="s">
        <v>268</v>
      </c>
      <c r="G31" s="152">
        <v>46178.0</v>
      </c>
      <c r="H31" s="141" t="s">
        <v>216</v>
      </c>
      <c r="I31" s="147" t="s">
        <v>41</v>
      </c>
      <c r="J31" s="154" t="s">
        <v>290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ht="38.25" customHeight="1">
      <c r="A32" s="49">
        <v>30.0</v>
      </c>
      <c r="B32" s="55" t="s">
        <v>292</v>
      </c>
      <c r="C32" s="52" t="s">
        <v>33</v>
      </c>
      <c r="D32" s="59"/>
      <c r="E32" s="55" t="s">
        <v>31</v>
      </c>
      <c r="F32" s="55" t="s">
        <v>295</v>
      </c>
      <c r="G32" s="55" t="s">
        <v>296</v>
      </c>
      <c r="H32" s="55" t="s">
        <v>216</v>
      </c>
      <c r="I32" s="163"/>
      <c r="J32" s="108" t="s">
        <v>139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ht="41.25" customHeight="1">
      <c r="A33" s="49">
        <v>31.0</v>
      </c>
      <c r="B33" s="55" t="s">
        <v>298</v>
      </c>
      <c r="C33" s="164"/>
      <c r="D33" s="59"/>
      <c r="E33" s="55" t="s">
        <v>234</v>
      </c>
      <c r="F33" s="59"/>
      <c r="G33" s="56">
        <v>46059.0</v>
      </c>
      <c r="H33" s="55" t="s">
        <v>299</v>
      </c>
      <c r="I33" s="163"/>
      <c r="J33" s="11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ht="40.5" customHeight="1">
      <c r="A34" s="49">
        <v>32.0</v>
      </c>
      <c r="B34" s="55" t="s">
        <v>304</v>
      </c>
      <c r="C34" s="52" t="s">
        <v>35</v>
      </c>
      <c r="D34" s="59"/>
      <c r="E34" s="55" t="s">
        <v>31</v>
      </c>
      <c r="F34" s="55" t="s">
        <v>186</v>
      </c>
      <c r="G34" s="59"/>
      <c r="H34" s="59"/>
      <c r="I34" s="163"/>
      <c r="J34" s="11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ht="35.25" customHeight="1">
      <c r="A35" s="49">
        <v>33.0</v>
      </c>
      <c r="B35" s="55" t="s">
        <v>310</v>
      </c>
      <c r="C35" s="52" t="s">
        <v>35</v>
      </c>
      <c r="D35" s="59"/>
      <c r="E35" s="59"/>
      <c r="F35" s="59"/>
      <c r="G35" s="59"/>
      <c r="H35" s="59"/>
      <c r="I35" s="163"/>
      <c r="J35" s="11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ht="42.0" customHeight="1">
      <c r="A36" s="49">
        <v>34.0</v>
      </c>
      <c r="B36" s="55" t="s">
        <v>316</v>
      </c>
      <c r="C36" s="52" t="s">
        <v>98</v>
      </c>
      <c r="D36" s="59"/>
      <c r="E36" s="59"/>
      <c r="F36" s="59"/>
      <c r="G36" s="59"/>
      <c r="H36" s="59"/>
      <c r="I36" s="163"/>
      <c r="J36" s="11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ht="38.25" customHeight="1">
      <c r="A37" s="49">
        <v>35.0</v>
      </c>
      <c r="B37" s="55" t="s">
        <v>93</v>
      </c>
      <c r="C37" s="52" t="s">
        <v>35</v>
      </c>
      <c r="D37" s="59"/>
      <c r="E37" s="55" t="s">
        <v>31</v>
      </c>
      <c r="F37" s="55" t="s">
        <v>295</v>
      </c>
      <c r="G37" s="56">
        <v>46148.0</v>
      </c>
      <c r="H37" s="59"/>
      <c r="I37" s="163"/>
      <c r="J37" s="11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ht="39.0" customHeight="1">
      <c r="A38" s="49">
        <v>36.0</v>
      </c>
      <c r="B38" s="55" t="s">
        <v>324</v>
      </c>
      <c r="C38" s="52" t="s">
        <v>35</v>
      </c>
      <c r="D38" s="59"/>
      <c r="E38" s="55" t="s">
        <v>31</v>
      </c>
      <c r="F38" s="55" t="s">
        <v>268</v>
      </c>
      <c r="G38" s="55" t="s">
        <v>326</v>
      </c>
      <c r="H38" s="59"/>
      <c r="I38" s="163"/>
      <c r="J38" s="11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 ht="37.5" customHeight="1">
      <c r="A39" s="49">
        <v>37.0</v>
      </c>
      <c r="B39" s="127" t="s">
        <v>329</v>
      </c>
      <c r="C39" s="174" t="s">
        <v>33</v>
      </c>
      <c r="D39" s="175" t="s">
        <v>33</v>
      </c>
      <c r="E39" s="175" t="s">
        <v>31</v>
      </c>
      <c r="F39" s="176"/>
      <c r="G39" s="175" t="s">
        <v>275</v>
      </c>
      <c r="H39" s="176"/>
      <c r="I39" s="17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ht="40.5" customHeight="1">
      <c r="A40" s="49">
        <v>38.0</v>
      </c>
      <c r="B40" s="55" t="s">
        <v>331</v>
      </c>
      <c r="C40" s="174" t="s">
        <v>35</v>
      </c>
      <c r="D40" s="176"/>
      <c r="E40" s="175" t="s">
        <v>31</v>
      </c>
      <c r="F40" s="176"/>
      <c r="G40" s="175" t="s">
        <v>149</v>
      </c>
      <c r="H40" s="176"/>
      <c r="I40" s="177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ht="39.75" customHeight="1">
      <c r="A41" s="49">
        <v>39.0</v>
      </c>
      <c r="B41" s="175" t="s">
        <v>334</v>
      </c>
      <c r="C41" s="174" t="s">
        <v>77</v>
      </c>
      <c r="D41" s="176"/>
      <c r="E41" s="175" t="s">
        <v>31</v>
      </c>
      <c r="F41" s="176"/>
      <c r="G41" s="175" t="s">
        <v>335</v>
      </c>
      <c r="H41" s="176"/>
      <c r="I41" s="177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ht="37.5" customHeight="1">
      <c r="A42" s="49">
        <v>40.0</v>
      </c>
      <c r="B42" s="55" t="s">
        <v>338</v>
      </c>
      <c r="C42" s="52" t="s">
        <v>77</v>
      </c>
      <c r="D42" s="59"/>
      <c r="E42" s="178"/>
      <c r="F42" s="176"/>
      <c r="G42" s="55" t="s">
        <v>340</v>
      </c>
      <c r="H42" s="176"/>
      <c r="I42" s="179" t="s">
        <v>41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ht="35.25" customHeight="1">
      <c r="A43" s="49">
        <v>41.0</v>
      </c>
      <c r="B43" s="55" t="s">
        <v>343</v>
      </c>
      <c r="C43" s="52" t="s">
        <v>108</v>
      </c>
      <c r="D43" s="59"/>
      <c r="E43" s="178"/>
      <c r="F43" s="176"/>
      <c r="G43" s="55" t="s">
        <v>340</v>
      </c>
      <c r="H43" s="176"/>
      <c r="I43" s="179" t="s">
        <v>41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ht="37.5" customHeight="1">
      <c r="A44" s="49">
        <v>42.0</v>
      </c>
      <c r="B44" s="55" t="s">
        <v>346</v>
      </c>
      <c r="C44" s="52" t="s">
        <v>29</v>
      </c>
      <c r="D44" s="55" t="s">
        <v>55</v>
      </c>
      <c r="E44" s="59"/>
      <c r="F44" s="59"/>
      <c r="G44" s="56">
        <v>46060.0</v>
      </c>
      <c r="H44" s="59"/>
      <c r="I44" s="163"/>
      <c r="J44" s="11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 ht="39.0" customHeight="1">
      <c r="A45" s="49">
        <v>43.0</v>
      </c>
      <c r="B45" s="55" t="s">
        <v>352</v>
      </c>
      <c r="C45" s="52" t="s">
        <v>29</v>
      </c>
      <c r="D45" s="175" t="s">
        <v>55</v>
      </c>
      <c r="E45" s="176"/>
      <c r="F45" s="176"/>
      <c r="G45" s="183">
        <v>46210.0</v>
      </c>
      <c r="H45" s="176"/>
      <c r="I45" s="177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49">
        <v>44.0</v>
      </c>
      <c r="B46" s="184" t="s">
        <v>357</v>
      </c>
      <c r="C46" s="174" t="s">
        <v>29</v>
      </c>
      <c r="D46" s="175" t="s">
        <v>55</v>
      </c>
      <c r="E46" s="176"/>
      <c r="F46" s="176"/>
      <c r="G46" s="185">
        <v>39270.0</v>
      </c>
      <c r="H46" s="176"/>
      <c r="I46" s="177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49">
        <v>45.0</v>
      </c>
      <c r="B47" s="55" t="s">
        <v>362</v>
      </c>
      <c r="C47" s="174" t="s">
        <v>33</v>
      </c>
      <c r="D47" s="175" t="s">
        <v>363</v>
      </c>
      <c r="E47" s="176"/>
      <c r="F47" s="176"/>
      <c r="G47" s="183">
        <v>46241.0</v>
      </c>
      <c r="H47" s="176"/>
      <c r="I47" s="177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49">
        <v>46.0</v>
      </c>
      <c r="B48" s="55" t="s">
        <v>368</v>
      </c>
      <c r="C48" s="174" t="s">
        <v>43</v>
      </c>
      <c r="D48" s="175" t="s">
        <v>43</v>
      </c>
      <c r="E48" s="176"/>
      <c r="F48" s="176"/>
      <c r="G48" s="183">
        <v>46210.0</v>
      </c>
      <c r="H48" s="176"/>
      <c r="I48" s="177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49">
        <v>47.0</v>
      </c>
      <c r="B49" s="55" t="s">
        <v>372</v>
      </c>
      <c r="C49" s="174" t="s">
        <v>98</v>
      </c>
      <c r="D49" s="175" t="s">
        <v>98</v>
      </c>
      <c r="E49" s="176"/>
      <c r="F49" s="176"/>
      <c r="G49" s="183">
        <v>46241.0</v>
      </c>
      <c r="H49" s="176"/>
      <c r="I49" s="177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49">
        <v>48.0</v>
      </c>
      <c r="B50" s="175" t="s">
        <v>376</v>
      </c>
      <c r="C50" s="174" t="s">
        <v>98</v>
      </c>
      <c r="D50" s="175" t="s">
        <v>98</v>
      </c>
      <c r="E50" s="176"/>
      <c r="F50" s="176"/>
      <c r="G50" s="191" t="s">
        <v>377</v>
      </c>
      <c r="H50" s="176"/>
      <c r="I50" s="17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49">
        <v>49.0</v>
      </c>
      <c r="B51" s="175" t="s">
        <v>380</v>
      </c>
      <c r="C51" s="174" t="s">
        <v>188</v>
      </c>
      <c r="D51" s="175" t="s">
        <v>381</v>
      </c>
      <c r="E51" s="176"/>
      <c r="F51" s="176"/>
      <c r="G51" s="191" t="s">
        <v>382</v>
      </c>
      <c r="H51" s="176"/>
      <c r="I51" s="177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49">
        <v>50.0</v>
      </c>
      <c r="B52" s="175" t="s">
        <v>384</v>
      </c>
      <c r="C52" s="174" t="s">
        <v>385</v>
      </c>
      <c r="D52" s="175" t="s">
        <v>385</v>
      </c>
      <c r="E52" s="176"/>
      <c r="F52" s="176"/>
      <c r="G52" s="191" t="s">
        <v>386</v>
      </c>
      <c r="H52" s="176"/>
      <c r="I52" s="177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49">
        <v>51.0</v>
      </c>
      <c r="B53" s="175" t="s">
        <v>388</v>
      </c>
      <c r="C53" s="174" t="s">
        <v>188</v>
      </c>
      <c r="D53" s="175" t="s">
        <v>188</v>
      </c>
      <c r="E53" s="176"/>
      <c r="F53" s="176"/>
      <c r="G53" s="191" t="s">
        <v>389</v>
      </c>
      <c r="H53" s="176"/>
      <c r="I53" s="177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49">
        <v>52.0</v>
      </c>
      <c r="B54" s="55" t="s">
        <v>238</v>
      </c>
      <c r="C54" s="55" t="s">
        <v>385</v>
      </c>
      <c r="D54" s="59"/>
      <c r="E54" s="55"/>
      <c r="F54" s="176"/>
      <c r="G54" s="191" t="s">
        <v>390</v>
      </c>
      <c r="H54" s="176"/>
      <c r="I54" s="177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176"/>
      <c r="C55" s="193"/>
      <c r="D55" s="176"/>
      <c r="E55" s="176"/>
      <c r="F55" s="176"/>
      <c r="G55" s="176"/>
      <c r="H55" s="176"/>
      <c r="I55" s="177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176"/>
      <c r="C56" s="193"/>
      <c r="D56" s="176"/>
      <c r="E56" s="176"/>
      <c r="F56" s="176"/>
      <c r="G56" s="176"/>
      <c r="H56" s="176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176"/>
      <c r="C57" s="193"/>
      <c r="D57" s="176"/>
      <c r="E57" s="176"/>
      <c r="F57" s="176"/>
      <c r="G57" s="176"/>
      <c r="H57" s="176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176"/>
      <c r="C58" s="193"/>
      <c r="D58" s="176"/>
      <c r="E58" s="176"/>
      <c r="F58" s="176"/>
      <c r="G58" s="176"/>
      <c r="H58" s="176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176"/>
      <c r="C59" s="193"/>
      <c r="D59" s="176"/>
      <c r="E59" s="176"/>
      <c r="F59" s="176"/>
      <c r="G59" s="176"/>
      <c r="H59" s="176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190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190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190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190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190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190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19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19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190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190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190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190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190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190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190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190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190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190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190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190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190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190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190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190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190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190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190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190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190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190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190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190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190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190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190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190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190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190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190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190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190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190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190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190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190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190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190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190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190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190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190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190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190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190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190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190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190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190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190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190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190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190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190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190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190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190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190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190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190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190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190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190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190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190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190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190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190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190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190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190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190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190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190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190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190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190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190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190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190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190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190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190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190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190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190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190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190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190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190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190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190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190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190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190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190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190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190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190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190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190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190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190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190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190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190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190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190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190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190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190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190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190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190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190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190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190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190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190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190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190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190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190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190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190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190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190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190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190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190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190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190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190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190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190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190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190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190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190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190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190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190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190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190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190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190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190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190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190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190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190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190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190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190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190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190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190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190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190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190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190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190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190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190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190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190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190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190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190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190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190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190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190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190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190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190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190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190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190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190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190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190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190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190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190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190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190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190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190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190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190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190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190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190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190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190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190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190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190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190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190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190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190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190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190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190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190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190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190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190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190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190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190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190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190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190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190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190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190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190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190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190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190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190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190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190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190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190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190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190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190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190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190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190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190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190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190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190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190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190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190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190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190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190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190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190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190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190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190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190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190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190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190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190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190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190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190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190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190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190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190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190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190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190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190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190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190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190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190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190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190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190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190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190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190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190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190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190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190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190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190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190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190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190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190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190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190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190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190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190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190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190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190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190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190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190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190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190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190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190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190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190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190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190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190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190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190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190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190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190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190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190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190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190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190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190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190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190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190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190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190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190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190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190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190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190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190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190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190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190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190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190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190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190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190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190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190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190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190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190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190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190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190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190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190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190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190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190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190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190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190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190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190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190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190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190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190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190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190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190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190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190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190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190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190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190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190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190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190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190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190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190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190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190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190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190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190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190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190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190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190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190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190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190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190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190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190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190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190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190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190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190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190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190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190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190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190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190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190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190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190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190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190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190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190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190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190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190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190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190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190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190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190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190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190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190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190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190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190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190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190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190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190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190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190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190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190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190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190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190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190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190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190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190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190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190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190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190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190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190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190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190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190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190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190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190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190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190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190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190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190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190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190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190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190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190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190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190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190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190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190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190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190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190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190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190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190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190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190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190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190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190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190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190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190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190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190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190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190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190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190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190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190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190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190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190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190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190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190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190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190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190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190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190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190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190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190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190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190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190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190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190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190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190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190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190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190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190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190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190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190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190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190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190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190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190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190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190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190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190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190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190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190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190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190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190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190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190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190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190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190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190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190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190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190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190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190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190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190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190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190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190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190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190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190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190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190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190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190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190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190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190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190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190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190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190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190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190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190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190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190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190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190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190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190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190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190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190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190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190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190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190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190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190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190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190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190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190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190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190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190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190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190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190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190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190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190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190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190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190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190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190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190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190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190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190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190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190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190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190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190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190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190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190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190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190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190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190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190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190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190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190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190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190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190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190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190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190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190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190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190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190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190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190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190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190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190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190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190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190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190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190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190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190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190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190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190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190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190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190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190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190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190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190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190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190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190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190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190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190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190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190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190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190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190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190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190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190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190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190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190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190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190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190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190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190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190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190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190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190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190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190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190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190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190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190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190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190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190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190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190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190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190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190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190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190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190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190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190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190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190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190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190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190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190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190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190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190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190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190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190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190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190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190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190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190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190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190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190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190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190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190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190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190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190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190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190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190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190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190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190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190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190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190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190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190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190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190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190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190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190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190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190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190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190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190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190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190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190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190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190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190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190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190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190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190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190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190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190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190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190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190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190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190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190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190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190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190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190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190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190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190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190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190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190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190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190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190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190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190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190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190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190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190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190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190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190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190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190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190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190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190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190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190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190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190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190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190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190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190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190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190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190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190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190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190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190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190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190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190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190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190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190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190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190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190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190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190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190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190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190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190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190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190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190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190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190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190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190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190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190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190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190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190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190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190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190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190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190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190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190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190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190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190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190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190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190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190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190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190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190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190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190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190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190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190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190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190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190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190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190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190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190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190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190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190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190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190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190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190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190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190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190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190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190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190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190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190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190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190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190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190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190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190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190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190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190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190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190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190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190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190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190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190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190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190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190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190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190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190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190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190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190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190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190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190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190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190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190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190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190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190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190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190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190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190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190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190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190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190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190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190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190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190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190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190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190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190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190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190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190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190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190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190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190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190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190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190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190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190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190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4"/>
      <c r="B1000" s="24"/>
      <c r="C1000" s="190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  <row r="1001">
      <c r="A1001" s="24"/>
      <c r="B1001" s="24"/>
      <c r="C1001" s="190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</row>
    <row r="1002">
      <c r="A1002" s="24"/>
      <c r="B1002" s="24"/>
      <c r="C1002" s="190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</row>
    <row r="1003">
      <c r="A1003" s="24"/>
      <c r="B1003" s="24"/>
      <c r="C1003" s="190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</row>
    <row r="1004">
      <c r="A1004" s="24"/>
      <c r="B1004" s="24"/>
      <c r="C1004" s="190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</row>
    <row r="1005">
      <c r="A1005" s="24"/>
      <c r="B1005" s="24"/>
      <c r="C1005" s="190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</row>
    <row r="1006">
      <c r="A1006" s="24"/>
      <c r="B1006" s="24"/>
      <c r="C1006" s="190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8.25"/>
    <col customWidth="1" min="3" max="3" width="22.13"/>
    <col customWidth="1" min="4" max="4" width="24.0"/>
    <col customWidth="1" min="5" max="5" width="23.88"/>
    <col customWidth="1" min="6" max="6" width="22.13"/>
    <col customWidth="1" min="7" max="7" width="18.13"/>
    <col customWidth="1" min="8" max="8" width="33.88"/>
    <col customWidth="1" min="9" max="27" width="22.13"/>
  </cols>
  <sheetData>
    <row r="1" ht="51.75" customHeight="1">
      <c r="A1" s="87"/>
      <c r="B1" s="88" t="s">
        <v>3</v>
      </c>
      <c r="C1" s="68"/>
      <c r="D1" s="68"/>
      <c r="E1" s="68"/>
      <c r="F1" s="68"/>
      <c r="G1" s="68"/>
      <c r="H1" s="68"/>
      <c r="I1" s="12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23"/>
      <c r="B2" s="89" t="s">
        <v>8</v>
      </c>
      <c r="C2" s="89" t="s">
        <v>22</v>
      </c>
      <c r="D2" s="89" t="s">
        <v>12</v>
      </c>
      <c r="E2" s="90" t="s">
        <v>13</v>
      </c>
      <c r="F2" s="89" t="s">
        <v>14</v>
      </c>
      <c r="G2" s="89" t="s">
        <v>15</v>
      </c>
      <c r="H2" s="89" t="s">
        <v>16</v>
      </c>
      <c r="I2" s="89" t="s">
        <v>27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>
      <c r="A3" s="96"/>
      <c r="B3" s="97"/>
      <c r="C3" s="97"/>
      <c r="D3" s="97"/>
      <c r="E3" s="97"/>
      <c r="F3" s="97"/>
      <c r="G3" s="97"/>
      <c r="H3" s="97"/>
      <c r="I3" s="97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40.5" customHeight="1">
      <c r="A4" s="102">
        <v>1.0</v>
      </c>
      <c r="B4" s="105" t="s">
        <v>131</v>
      </c>
      <c r="C4" s="107" t="s">
        <v>133</v>
      </c>
      <c r="D4" s="107" t="s">
        <v>134</v>
      </c>
      <c r="E4" s="107" t="s">
        <v>135</v>
      </c>
      <c r="F4" s="107"/>
      <c r="G4" s="107" t="s">
        <v>138</v>
      </c>
      <c r="H4" s="108" t="s">
        <v>139</v>
      </c>
      <c r="I4" s="109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40.5" customHeight="1">
      <c r="A5" s="102">
        <v>2.0</v>
      </c>
      <c r="B5" s="109" t="s">
        <v>143</v>
      </c>
      <c r="C5" s="108" t="s">
        <v>133</v>
      </c>
      <c r="D5" s="108" t="s">
        <v>147</v>
      </c>
      <c r="E5" s="108" t="s">
        <v>149</v>
      </c>
      <c r="F5" s="108" t="s">
        <v>111</v>
      </c>
      <c r="G5" s="108" t="s">
        <v>150</v>
      </c>
      <c r="H5" s="108" t="s">
        <v>151</v>
      </c>
      <c r="I5" s="109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40.5" customHeight="1">
      <c r="A6" s="102">
        <v>3.0</v>
      </c>
      <c r="B6" s="109" t="s">
        <v>156</v>
      </c>
      <c r="C6" s="108" t="s">
        <v>157</v>
      </c>
      <c r="D6" s="108" t="s">
        <v>134</v>
      </c>
      <c r="E6" s="108" t="s">
        <v>159</v>
      </c>
      <c r="F6" s="114"/>
      <c r="G6" s="108" t="s">
        <v>138</v>
      </c>
      <c r="H6" s="108" t="s">
        <v>151</v>
      </c>
      <c r="I6" s="109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35.25" customHeight="1">
      <c r="A7" s="102">
        <v>4.0</v>
      </c>
      <c r="B7" s="108" t="s">
        <v>167</v>
      </c>
      <c r="C7" s="108" t="s">
        <v>169</v>
      </c>
      <c r="D7" s="108" t="s">
        <v>134</v>
      </c>
      <c r="E7" s="118">
        <v>46117.0</v>
      </c>
      <c r="F7" s="114"/>
      <c r="G7" s="108" t="s">
        <v>138</v>
      </c>
      <c r="H7" s="108" t="s">
        <v>151</v>
      </c>
      <c r="I7" s="109" t="s">
        <v>174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41.25" customHeight="1">
      <c r="A8" s="102">
        <v>5.0</v>
      </c>
      <c r="B8" s="109" t="s">
        <v>178</v>
      </c>
      <c r="C8" s="108" t="s">
        <v>179</v>
      </c>
      <c r="D8" s="108" t="s">
        <v>134</v>
      </c>
      <c r="E8" s="108" t="s">
        <v>182</v>
      </c>
      <c r="F8" s="114"/>
      <c r="G8" s="108" t="s">
        <v>148</v>
      </c>
      <c r="H8" s="108" t="s">
        <v>184</v>
      </c>
      <c r="I8" s="11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33.0" customHeight="1">
      <c r="A9" s="102">
        <v>6.0</v>
      </c>
      <c r="B9" s="121" t="s">
        <v>190</v>
      </c>
      <c r="C9" s="97" t="s">
        <v>179</v>
      </c>
      <c r="D9" s="97" t="s">
        <v>134</v>
      </c>
      <c r="E9" s="123" t="s">
        <v>191</v>
      </c>
      <c r="F9" s="125"/>
      <c r="G9" s="123" t="s">
        <v>150</v>
      </c>
      <c r="H9" s="123" t="s">
        <v>196</v>
      </c>
      <c r="I9" s="97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</row>
    <row r="10">
      <c r="A10" s="102">
        <v>7.0</v>
      </c>
      <c r="B10" s="108" t="s">
        <v>201</v>
      </c>
      <c r="C10" s="108" t="s">
        <v>33</v>
      </c>
      <c r="D10" s="108" t="s">
        <v>203</v>
      </c>
      <c r="E10" s="108" t="s">
        <v>134</v>
      </c>
      <c r="F10" s="108" t="s">
        <v>204</v>
      </c>
      <c r="G10" s="114"/>
      <c r="H10" s="108" t="s">
        <v>138</v>
      </c>
      <c r="I10" s="108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102">
        <v>8.0</v>
      </c>
      <c r="B11" s="128" t="s">
        <v>209</v>
      </c>
      <c r="C11" s="128" t="s">
        <v>211</v>
      </c>
      <c r="D11" s="130" t="s">
        <v>33</v>
      </c>
      <c r="E11" s="130" t="s">
        <v>134</v>
      </c>
      <c r="F11" s="131">
        <v>46113.0</v>
      </c>
      <c r="G11" s="132" t="s">
        <v>219</v>
      </c>
      <c r="H11" s="128" t="s">
        <v>220</v>
      </c>
      <c r="I11" s="128" t="s">
        <v>151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102">
        <v>9.0</v>
      </c>
      <c r="B12" s="97" t="s">
        <v>225</v>
      </c>
      <c r="C12" s="97" t="s">
        <v>211</v>
      </c>
      <c r="D12" s="121" t="s">
        <v>33</v>
      </c>
      <c r="E12" s="135" t="s">
        <v>226</v>
      </c>
      <c r="F12" s="136">
        <v>46085.0</v>
      </c>
      <c r="G12" s="137">
        <v>20.0</v>
      </c>
      <c r="H12" s="97" t="s">
        <v>232</v>
      </c>
      <c r="I12" s="97" t="s">
        <v>41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102">
        <v>10.0</v>
      </c>
      <c r="B13" s="97" t="s">
        <v>237</v>
      </c>
      <c r="C13" s="123" t="s">
        <v>240</v>
      </c>
      <c r="D13" s="121" t="s">
        <v>108</v>
      </c>
      <c r="E13" s="135" t="s">
        <v>226</v>
      </c>
      <c r="F13" s="97" t="s">
        <v>159</v>
      </c>
      <c r="G13" s="138" t="s">
        <v>243</v>
      </c>
      <c r="H13" s="97" t="s">
        <v>244</v>
      </c>
      <c r="I13" s="121" t="s">
        <v>128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102">
        <v>11.0</v>
      </c>
      <c r="B14" s="108" t="s">
        <v>250</v>
      </c>
      <c r="C14" s="108" t="s">
        <v>33</v>
      </c>
      <c r="D14" s="108" t="s">
        <v>33</v>
      </c>
      <c r="E14" s="108" t="s">
        <v>226</v>
      </c>
      <c r="F14" s="108" t="s">
        <v>255</v>
      </c>
      <c r="G14" s="143">
        <v>20.0</v>
      </c>
      <c r="H14" s="108" t="s">
        <v>150</v>
      </c>
      <c r="I14" s="108" t="s">
        <v>128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102">
        <v>12.0</v>
      </c>
      <c r="B15" s="109" t="s">
        <v>178</v>
      </c>
      <c r="C15" s="108" t="s">
        <v>266</v>
      </c>
      <c r="D15" s="108" t="s">
        <v>179</v>
      </c>
      <c r="E15" s="108" t="s">
        <v>226</v>
      </c>
      <c r="F15" s="108" t="s">
        <v>270</v>
      </c>
      <c r="G15" s="114"/>
      <c r="H15" s="108" t="s">
        <v>272</v>
      </c>
      <c r="I15" s="108" t="s">
        <v>128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102">
        <v>13.0</v>
      </c>
      <c r="B16" s="109" t="s">
        <v>274</v>
      </c>
      <c r="C16" s="108" t="s">
        <v>133</v>
      </c>
      <c r="D16" s="108" t="s">
        <v>108</v>
      </c>
      <c r="E16" s="108" t="s">
        <v>226</v>
      </c>
      <c r="F16" s="114"/>
      <c r="G16" s="108"/>
      <c r="H16" s="108" t="s">
        <v>272</v>
      </c>
      <c r="I16" s="108" t="s">
        <v>128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102">
        <v>14.0</v>
      </c>
      <c r="B17" s="108" t="s">
        <v>282</v>
      </c>
      <c r="C17" s="108" t="s">
        <v>284</v>
      </c>
      <c r="D17" s="108" t="s">
        <v>284</v>
      </c>
      <c r="E17" s="108" t="s">
        <v>286</v>
      </c>
      <c r="F17" s="114"/>
      <c r="G17" s="114"/>
      <c r="H17" s="108" t="s">
        <v>272</v>
      </c>
      <c r="I17" s="108" t="s">
        <v>128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102">
        <v>15.0</v>
      </c>
      <c r="B18" s="155" t="s">
        <v>291</v>
      </c>
      <c r="C18" s="155" t="s">
        <v>133</v>
      </c>
      <c r="D18" s="108" t="s">
        <v>284</v>
      </c>
      <c r="E18" s="108" t="s">
        <v>286</v>
      </c>
      <c r="F18" s="158">
        <v>46211.0</v>
      </c>
      <c r="G18" s="24"/>
      <c r="H18" s="108" t="s">
        <v>272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</sheetData>
  <mergeCells count="1">
    <mergeCell ref="B1:I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6.5"/>
    <col customWidth="1" min="2" max="2" width="18.25"/>
    <col customWidth="1" min="3" max="3" width="17.25"/>
  </cols>
  <sheetData>
    <row r="1" ht="54.75" customHeight="1">
      <c r="A1" s="203"/>
      <c r="B1" s="204" t="s">
        <v>436</v>
      </c>
      <c r="C1" s="203" t="s">
        <v>437</v>
      </c>
      <c r="D1" s="205" t="s">
        <v>438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ht="33.75" customHeight="1">
      <c r="A2" s="206" t="s">
        <v>439</v>
      </c>
      <c r="B2" s="207"/>
      <c r="C2" s="208"/>
      <c r="D2" s="209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>
      <c r="A3" s="210" t="s">
        <v>440</v>
      </c>
      <c r="B3" s="200" t="s">
        <v>441</v>
      </c>
      <c r="C3" s="196" t="s">
        <v>442</v>
      </c>
      <c r="D3" s="199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>
      <c r="A4" s="210" t="s">
        <v>443</v>
      </c>
      <c r="B4" s="200" t="s">
        <v>33</v>
      </c>
      <c r="C4" s="196" t="s">
        <v>135</v>
      </c>
      <c r="D4" s="199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>
      <c r="A5" s="199" t="s">
        <v>444</v>
      </c>
      <c r="B5" s="200"/>
      <c r="C5" s="196" t="s">
        <v>445</v>
      </c>
      <c r="D5" s="199" t="s">
        <v>446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>
      <c r="A6" s="199" t="s">
        <v>447</v>
      </c>
      <c r="B6" s="200" t="s">
        <v>35</v>
      </c>
      <c r="C6" s="211">
        <v>46148.0</v>
      </c>
      <c r="D6" s="212">
        <v>0.4166666666666667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>
      <c r="A7" s="199" t="s">
        <v>448</v>
      </c>
      <c r="B7" s="200"/>
      <c r="C7" s="199" t="s">
        <v>335</v>
      </c>
      <c r="D7" s="212">
        <v>0.4375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>
      <c r="A8" s="199" t="s">
        <v>449</v>
      </c>
      <c r="B8" s="200"/>
      <c r="C8" s="199" t="s">
        <v>335</v>
      </c>
      <c r="D8" s="212">
        <v>0.4375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>
      <c r="A9" s="199" t="s">
        <v>450</v>
      </c>
      <c r="B9" s="200"/>
      <c r="C9" s="199" t="s">
        <v>66</v>
      </c>
      <c r="D9" s="212">
        <v>0.4375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>
      <c r="A10" s="199" t="s">
        <v>451</v>
      </c>
      <c r="B10" s="200"/>
      <c r="C10" s="199" t="s">
        <v>452</v>
      </c>
      <c r="D10" s="21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199" t="s">
        <v>453</v>
      </c>
      <c r="B11" s="200"/>
      <c r="C11" s="211">
        <v>46148.0</v>
      </c>
      <c r="D11" s="21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199" t="s">
        <v>454</v>
      </c>
      <c r="B12" s="200" t="s">
        <v>455</v>
      </c>
      <c r="C12" s="199" t="s">
        <v>456</v>
      </c>
      <c r="D12" s="213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ht="39.75" customHeight="1">
      <c r="A13" s="214" t="s">
        <v>457</v>
      </c>
      <c r="B13" s="200" t="s">
        <v>458</v>
      </c>
      <c r="C13" s="215" t="s">
        <v>456</v>
      </c>
      <c r="D13" s="21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ht="33.75" customHeight="1">
      <c r="A14" s="199" t="s">
        <v>459</v>
      </c>
      <c r="B14" s="197" t="s">
        <v>460</v>
      </c>
      <c r="C14" s="199" t="s">
        <v>461</v>
      </c>
      <c r="D14" s="21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ht="32.25" customHeight="1">
      <c r="A15" s="199" t="s">
        <v>462</v>
      </c>
      <c r="B15" s="200" t="s">
        <v>463</v>
      </c>
      <c r="C15" s="199" t="s">
        <v>296</v>
      </c>
      <c r="D15" s="213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ht="33.75" customHeight="1">
      <c r="A16" s="199" t="s">
        <v>464</v>
      </c>
      <c r="B16" s="200">
        <v>3.0</v>
      </c>
      <c r="C16" s="199" t="s">
        <v>296</v>
      </c>
      <c r="D16" s="213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199" t="s">
        <v>465</v>
      </c>
      <c r="B17" s="200" t="s">
        <v>466</v>
      </c>
      <c r="C17" s="199" t="s">
        <v>296</v>
      </c>
      <c r="D17" s="21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16" t="s">
        <v>467</v>
      </c>
      <c r="B18" s="200" t="s">
        <v>98</v>
      </c>
      <c r="C18" s="216" t="s">
        <v>468</v>
      </c>
      <c r="D18" s="213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199" t="s">
        <v>469</v>
      </c>
      <c r="B19" s="200" t="s">
        <v>466</v>
      </c>
      <c r="C19" s="199" t="s">
        <v>470</v>
      </c>
      <c r="D19" s="213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199" t="s">
        <v>471</v>
      </c>
      <c r="B20" s="200" t="s">
        <v>466</v>
      </c>
      <c r="C20" s="199" t="s">
        <v>371</v>
      </c>
      <c r="D20" s="213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199" t="s">
        <v>399</v>
      </c>
      <c r="B21" s="200" t="s">
        <v>460</v>
      </c>
      <c r="C21" s="199" t="s">
        <v>371</v>
      </c>
      <c r="D21" s="21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199" t="s">
        <v>472</v>
      </c>
      <c r="B22" s="200" t="s">
        <v>473</v>
      </c>
      <c r="C22" s="199" t="s">
        <v>322</v>
      </c>
      <c r="D22" s="21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ht="45.75" customHeight="1">
      <c r="A23" s="217" t="s">
        <v>474</v>
      </c>
      <c r="B23" s="218"/>
      <c r="C23" s="218" t="s">
        <v>335</v>
      </c>
      <c r="D23" s="213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</row>
    <row r="24">
      <c r="A24" s="220" t="s">
        <v>280</v>
      </c>
      <c r="B24" s="221" t="s">
        <v>455</v>
      </c>
      <c r="C24" s="218" t="s">
        <v>475</v>
      </c>
      <c r="D24" s="11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39" t="s">
        <v>293</v>
      </c>
      <c r="B25" s="221" t="s">
        <v>455</v>
      </c>
      <c r="C25" s="218" t="s">
        <v>476</v>
      </c>
      <c r="D25" s="11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91" t="s">
        <v>314</v>
      </c>
      <c r="B26" s="114"/>
      <c r="C26" s="218" t="s">
        <v>477</v>
      </c>
      <c r="D26" s="11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>
      <c r="A27" s="91" t="s">
        <v>319</v>
      </c>
      <c r="B27" s="114"/>
      <c r="C27" s="218" t="s">
        <v>478</v>
      </c>
      <c r="D27" s="11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>
      <c r="A28" s="190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>
      <c r="A29" s="190"/>
      <c r="B29" s="24"/>
      <c r="C29" s="155" t="s">
        <v>479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>
      <c r="A30" s="190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>
      <c r="A31" s="190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>
      <c r="A32" s="190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>
      <c r="A33" s="190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>
      <c r="A34" s="190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>
      <c r="A35" s="190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>
      <c r="A36" s="190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>
      <c r="A37" s="190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>
      <c r="A38" s="190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>
      <c r="A39" s="190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>
      <c r="A40" s="190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>
      <c r="A41" s="190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>
      <c r="A42" s="190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>
      <c r="A43" s="190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>
      <c r="A44" s="190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>
      <c r="A45" s="190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>
      <c r="A46" s="190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>
      <c r="A47" s="190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>
      <c r="A48" s="190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>
      <c r="A49" s="190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>
      <c r="A50" s="190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>
      <c r="A51" s="190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>
      <c r="A52" s="190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>
      <c r="A53" s="190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>
      <c r="A54" s="190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>
      <c r="A55" s="190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>
      <c r="A56" s="190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>
      <c r="A57" s="190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>
      <c r="A58" s="190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>
      <c r="A59" s="190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>
      <c r="A60" s="190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>
      <c r="A61" s="190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>
      <c r="A62" s="190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>
      <c r="A63" s="190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>
      <c r="A64" s="190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>
      <c r="A65" s="190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>
      <c r="A66" s="190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>
      <c r="A67" s="190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>
      <c r="A68" s="190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>
      <c r="A69" s="190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>
      <c r="A70" s="190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>
      <c r="A71" s="190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>
      <c r="A72" s="190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>
      <c r="A73" s="190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>
      <c r="A74" s="190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>
      <c r="A75" s="190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>
      <c r="A76" s="190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>
      <c r="A77" s="190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>
      <c r="A78" s="190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>
      <c r="A79" s="190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>
      <c r="A80" s="190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>
      <c r="A81" s="190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>
      <c r="A82" s="190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>
      <c r="A83" s="190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>
      <c r="A84" s="190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>
      <c r="A85" s="190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>
      <c r="A86" s="190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>
      <c r="A87" s="190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>
      <c r="A88" s="190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>
      <c r="A89" s="190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>
      <c r="A90" s="190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>
      <c r="A91" s="190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>
      <c r="A92" s="190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>
      <c r="A93" s="190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>
      <c r="A94" s="190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>
      <c r="A95" s="190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>
      <c r="A96" s="190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>
      <c r="A97" s="190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>
      <c r="A98" s="190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>
      <c r="A99" s="190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>
      <c r="A100" s="190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>
      <c r="A101" s="190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>
      <c r="A102" s="190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>
      <c r="A103" s="190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>
      <c r="A104" s="190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>
      <c r="A105" s="190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>
      <c r="A106" s="190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>
      <c r="A107" s="190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>
      <c r="A108" s="190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>
      <c r="A109" s="190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>
      <c r="A110" s="190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>
      <c r="A111" s="190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>
      <c r="A112" s="190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>
      <c r="A113" s="190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>
      <c r="A114" s="190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>
      <c r="A115" s="190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>
      <c r="A116" s="190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>
      <c r="A117" s="190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>
      <c r="A118" s="190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>
      <c r="A119" s="190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>
      <c r="A120" s="190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>
      <c r="A121" s="190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>
      <c r="A122" s="190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>
      <c r="A123" s="190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>
      <c r="A124" s="190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>
      <c r="A125" s="190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>
      <c r="A126" s="190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>
      <c r="A127" s="190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>
      <c r="A128" s="190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>
      <c r="A129" s="190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>
      <c r="A130" s="190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>
      <c r="A131" s="190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>
      <c r="A132" s="190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>
      <c r="A133" s="190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>
      <c r="A134" s="190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>
      <c r="A135" s="190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>
      <c r="A136" s="190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>
      <c r="A137" s="190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>
      <c r="A138" s="190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>
      <c r="A139" s="190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>
      <c r="A140" s="190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>
      <c r="A141" s="190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>
      <c r="A142" s="190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>
      <c r="A143" s="190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>
      <c r="A144" s="190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>
      <c r="A145" s="190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>
      <c r="A146" s="190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>
      <c r="A147" s="190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>
      <c r="A148" s="190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>
      <c r="A149" s="190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>
      <c r="A150" s="190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>
      <c r="A151" s="190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>
      <c r="A152" s="190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>
      <c r="A153" s="190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>
      <c r="A154" s="190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>
      <c r="A155" s="190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>
      <c r="A156" s="190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>
      <c r="A157" s="190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>
      <c r="A158" s="190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>
      <c r="A159" s="190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>
      <c r="A160" s="190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>
      <c r="A161" s="190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>
      <c r="A162" s="190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>
      <c r="A163" s="190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>
      <c r="A164" s="190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>
      <c r="A165" s="190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>
      <c r="A166" s="190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>
      <c r="A167" s="190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>
      <c r="A168" s="190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>
      <c r="A169" s="190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>
      <c r="A170" s="190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>
      <c r="A171" s="190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>
      <c r="A172" s="190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>
      <c r="A173" s="190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>
      <c r="A174" s="190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>
      <c r="A175" s="190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>
      <c r="A176" s="190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>
      <c r="A177" s="190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>
      <c r="A178" s="190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>
      <c r="A179" s="190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>
      <c r="A180" s="190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>
      <c r="A181" s="190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>
      <c r="A182" s="190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>
      <c r="A183" s="190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>
      <c r="A184" s="190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>
      <c r="A185" s="190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>
      <c r="A186" s="190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>
      <c r="A187" s="190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>
      <c r="A188" s="190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>
      <c r="A189" s="190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>
      <c r="A190" s="190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>
      <c r="A191" s="190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>
      <c r="A192" s="190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>
      <c r="A193" s="190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>
      <c r="A194" s="190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>
      <c r="A195" s="190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>
      <c r="A196" s="190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>
      <c r="A197" s="190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>
      <c r="A198" s="190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>
      <c r="A199" s="190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>
      <c r="A200" s="190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>
      <c r="A201" s="190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>
      <c r="A202" s="190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>
      <c r="A203" s="190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>
      <c r="A204" s="190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>
      <c r="A205" s="190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>
      <c r="A206" s="190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>
      <c r="A207" s="190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>
      <c r="A208" s="190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>
      <c r="A209" s="190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>
      <c r="A210" s="190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>
      <c r="A211" s="190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>
      <c r="A212" s="190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>
      <c r="A213" s="190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>
      <c r="A214" s="190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>
      <c r="A215" s="190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>
      <c r="A216" s="190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>
      <c r="A217" s="190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>
      <c r="A218" s="190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>
      <c r="A219" s="190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>
      <c r="A220" s="190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>
      <c r="A221" s="190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>
      <c r="A222" s="190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>
      <c r="A223" s="190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>
      <c r="A224" s="190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>
      <c r="A225" s="190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>
      <c r="A226" s="190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>
      <c r="A227" s="190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>
      <c r="A228" s="190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>
      <c r="A229" s="190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>
      <c r="A230" s="190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>
      <c r="A231" s="190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>
      <c r="A232" s="190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>
      <c r="A233" s="190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>
      <c r="A234" s="190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>
      <c r="A235" s="190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>
      <c r="A236" s="190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>
      <c r="A237" s="190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>
      <c r="A238" s="190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>
      <c r="A239" s="190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>
      <c r="A240" s="190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>
      <c r="A241" s="190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>
      <c r="A242" s="190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>
      <c r="A243" s="190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>
      <c r="A244" s="190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>
      <c r="A245" s="190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>
      <c r="A246" s="190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>
      <c r="A247" s="190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>
      <c r="A248" s="190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>
      <c r="A249" s="190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>
      <c r="A250" s="190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>
      <c r="A251" s="190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>
      <c r="A252" s="190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>
      <c r="A253" s="190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>
      <c r="A254" s="190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>
      <c r="A255" s="190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>
      <c r="A256" s="190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>
      <c r="A257" s="190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>
      <c r="A258" s="190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>
      <c r="A259" s="190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>
      <c r="A260" s="190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>
      <c r="A261" s="190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>
      <c r="A262" s="190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>
      <c r="A263" s="190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>
      <c r="A264" s="190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>
      <c r="A265" s="190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>
      <c r="A266" s="190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>
      <c r="A267" s="190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>
      <c r="A268" s="190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>
      <c r="A269" s="190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>
      <c r="A270" s="190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>
      <c r="A271" s="190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>
      <c r="A272" s="190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>
      <c r="A273" s="190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>
      <c r="A274" s="190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>
      <c r="A275" s="190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>
      <c r="A276" s="190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>
      <c r="A277" s="190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>
      <c r="A278" s="190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>
      <c r="A279" s="190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>
      <c r="A280" s="190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>
      <c r="A281" s="190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>
      <c r="A282" s="190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>
      <c r="A283" s="190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>
      <c r="A284" s="190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>
      <c r="A285" s="190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>
      <c r="A286" s="190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>
      <c r="A287" s="190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>
      <c r="A288" s="190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>
      <c r="A289" s="190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>
      <c r="A290" s="190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>
      <c r="A291" s="190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>
      <c r="A292" s="190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>
      <c r="A293" s="190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>
      <c r="A294" s="190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>
      <c r="A295" s="190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>
      <c r="A296" s="190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>
      <c r="A297" s="190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>
      <c r="A298" s="190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>
      <c r="A299" s="190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>
      <c r="A300" s="190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>
      <c r="A301" s="190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>
      <c r="A302" s="190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>
      <c r="A303" s="190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>
      <c r="A304" s="190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>
      <c r="A305" s="190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>
      <c r="A306" s="190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>
      <c r="A307" s="190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>
      <c r="A308" s="190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>
      <c r="A309" s="190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>
      <c r="A310" s="190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>
      <c r="A311" s="190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>
      <c r="A312" s="190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>
      <c r="A313" s="190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>
      <c r="A314" s="190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>
      <c r="A315" s="190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>
      <c r="A316" s="190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>
      <c r="A317" s="190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>
      <c r="A318" s="190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>
      <c r="A319" s="190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>
      <c r="A320" s="190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>
      <c r="A321" s="190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>
      <c r="A322" s="190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>
      <c r="A323" s="190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>
      <c r="A324" s="190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>
      <c r="A325" s="190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>
      <c r="A326" s="190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>
      <c r="A327" s="190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>
      <c r="A328" s="190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>
      <c r="A329" s="190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>
      <c r="A330" s="190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>
      <c r="A331" s="190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>
      <c r="A332" s="190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>
      <c r="A333" s="190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>
      <c r="A334" s="190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>
      <c r="A335" s="190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>
      <c r="A336" s="190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>
      <c r="A337" s="190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>
      <c r="A338" s="190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>
      <c r="A339" s="190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>
      <c r="A340" s="190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>
      <c r="A341" s="190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>
      <c r="A342" s="190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>
      <c r="A343" s="190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>
      <c r="A344" s="190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>
      <c r="A345" s="190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>
      <c r="A346" s="190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>
      <c r="A347" s="190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>
      <c r="A348" s="190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>
      <c r="A349" s="190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>
      <c r="A350" s="190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>
      <c r="A351" s="190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>
      <c r="A352" s="190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>
      <c r="A353" s="190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>
      <c r="A354" s="190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>
      <c r="A355" s="190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>
      <c r="A356" s="190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>
      <c r="A357" s="190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>
      <c r="A358" s="190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>
      <c r="A359" s="190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>
      <c r="A360" s="190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>
      <c r="A361" s="190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>
      <c r="A362" s="190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>
      <c r="A363" s="190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>
      <c r="A364" s="190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>
      <c r="A365" s="190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>
      <c r="A366" s="190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>
      <c r="A367" s="190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>
      <c r="A368" s="190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>
      <c r="A369" s="190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>
      <c r="A370" s="190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>
      <c r="A371" s="190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>
      <c r="A372" s="190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>
      <c r="A373" s="190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>
      <c r="A374" s="190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>
      <c r="A375" s="190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>
      <c r="A376" s="190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>
      <c r="A377" s="190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>
      <c r="A378" s="190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>
      <c r="A379" s="190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>
      <c r="A380" s="190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>
      <c r="A381" s="190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>
      <c r="A382" s="190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>
      <c r="A383" s="190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>
      <c r="A384" s="190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>
      <c r="A385" s="190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>
      <c r="A386" s="190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>
      <c r="A387" s="190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>
      <c r="A388" s="190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>
      <c r="A389" s="190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>
      <c r="A390" s="190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>
      <c r="A391" s="190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>
      <c r="A392" s="190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>
      <c r="A393" s="190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>
      <c r="A394" s="190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>
      <c r="A395" s="190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>
      <c r="A396" s="190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>
      <c r="A397" s="190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>
      <c r="A398" s="190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>
      <c r="A399" s="190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>
      <c r="A400" s="190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>
      <c r="A401" s="190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>
      <c r="A402" s="190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>
      <c r="A403" s="190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>
      <c r="A404" s="190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>
      <c r="A405" s="190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>
      <c r="A406" s="190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>
      <c r="A407" s="190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>
      <c r="A408" s="190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>
      <c r="A409" s="190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>
      <c r="A410" s="190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>
      <c r="A411" s="190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>
      <c r="A412" s="190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>
      <c r="A413" s="190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>
      <c r="A414" s="190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>
      <c r="A415" s="190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>
      <c r="A416" s="190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>
      <c r="A417" s="190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>
      <c r="A418" s="190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>
      <c r="A419" s="190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>
      <c r="A420" s="190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>
      <c r="A421" s="190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>
      <c r="A422" s="190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>
      <c r="A423" s="190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>
      <c r="A424" s="190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>
      <c r="A425" s="190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>
      <c r="A426" s="190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>
      <c r="A427" s="190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>
      <c r="A428" s="190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>
      <c r="A429" s="190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>
      <c r="A430" s="190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>
      <c r="A431" s="190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>
      <c r="A432" s="190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>
      <c r="A433" s="190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>
      <c r="A434" s="190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>
      <c r="A435" s="190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>
      <c r="A436" s="190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>
      <c r="A437" s="190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>
      <c r="A438" s="190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>
      <c r="A439" s="190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>
      <c r="A440" s="190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>
      <c r="A441" s="190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>
      <c r="A442" s="190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>
      <c r="A443" s="190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>
      <c r="A444" s="190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>
      <c r="A445" s="190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>
      <c r="A446" s="190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>
      <c r="A447" s="190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>
      <c r="A448" s="190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>
      <c r="A449" s="190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>
      <c r="A450" s="190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>
      <c r="A451" s="190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>
      <c r="A452" s="190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>
      <c r="A453" s="190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>
      <c r="A454" s="190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>
      <c r="A455" s="190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>
      <c r="A456" s="190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>
      <c r="A457" s="190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>
      <c r="A458" s="190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>
      <c r="A459" s="190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>
      <c r="A460" s="190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>
      <c r="A461" s="190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>
      <c r="A462" s="190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>
      <c r="A463" s="190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>
      <c r="A464" s="190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>
      <c r="A465" s="190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>
      <c r="A466" s="190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>
      <c r="A467" s="190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>
      <c r="A468" s="190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>
      <c r="A469" s="190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>
      <c r="A470" s="190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>
      <c r="A471" s="190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>
      <c r="A472" s="190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>
      <c r="A473" s="190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>
      <c r="A474" s="190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>
      <c r="A475" s="190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>
      <c r="A476" s="190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>
      <c r="A477" s="190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>
      <c r="A478" s="190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>
      <c r="A479" s="190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>
      <c r="A480" s="190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>
      <c r="A481" s="190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>
      <c r="A482" s="190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>
      <c r="A483" s="190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>
      <c r="A484" s="190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>
      <c r="A485" s="190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>
      <c r="A486" s="190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>
      <c r="A487" s="190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>
      <c r="A488" s="190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>
      <c r="A489" s="190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>
      <c r="A490" s="190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>
      <c r="A491" s="190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>
      <c r="A492" s="190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>
      <c r="A493" s="190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>
      <c r="A494" s="190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>
      <c r="A495" s="190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>
      <c r="A496" s="190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>
      <c r="A497" s="190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>
      <c r="A498" s="190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>
      <c r="A499" s="190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>
      <c r="A500" s="190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>
      <c r="A501" s="190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>
      <c r="A502" s="190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>
      <c r="A503" s="190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>
      <c r="A504" s="190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>
      <c r="A505" s="190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>
      <c r="A506" s="190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>
      <c r="A507" s="190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>
      <c r="A508" s="190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>
      <c r="A509" s="190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>
      <c r="A510" s="190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>
      <c r="A511" s="190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>
      <c r="A512" s="190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>
      <c r="A513" s="190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>
      <c r="A514" s="190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>
      <c r="A515" s="190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>
      <c r="A516" s="190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>
      <c r="A517" s="190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>
      <c r="A518" s="190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>
      <c r="A519" s="190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>
      <c r="A520" s="190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>
      <c r="A521" s="190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>
      <c r="A522" s="190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>
      <c r="A523" s="190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>
      <c r="A524" s="190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>
      <c r="A525" s="190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>
      <c r="A526" s="190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>
      <c r="A527" s="190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>
      <c r="A528" s="190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>
      <c r="A529" s="190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>
      <c r="A530" s="190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>
      <c r="A531" s="190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>
      <c r="A532" s="190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>
      <c r="A533" s="190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>
      <c r="A534" s="190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>
      <c r="A535" s="190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>
      <c r="A536" s="190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>
      <c r="A537" s="190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>
      <c r="A538" s="190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>
      <c r="A539" s="190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>
      <c r="A540" s="190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>
      <c r="A541" s="190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>
      <c r="A542" s="190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>
      <c r="A543" s="190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>
      <c r="A544" s="190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>
      <c r="A545" s="190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>
      <c r="A546" s="190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>
      <c r="A547" s="190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>
      <c r="A548" s="190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>
      <c r="A549" s="190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>
      <c r="A550" s="190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>
      <c r="A551" s="190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>
      <c r="A552" s="190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>
      <c r="A553" s="190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>
      <c r="A554" s="190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>
      <c r="A555" s="190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>
      <c r="A556" s="190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>
      <c r="A557" s="190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>
      <c r="A558" s="190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>
      <c r="A559" s="190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>
      <c r="A560" s="190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>
      <c r="A561" s="190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>
      <c r="A562" s="190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>
      <c r="A563" s="190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>
      <c r="A564" s="190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>
      <c r="A565" s="190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>
      <c r="A566" s="190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>
      <c r="A567" s="190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>
      <c r="A568" s="190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>
      <c r="A569" s="190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>
      <c r="A570" s="190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>
      <c r="A571" s="190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>
      <c r="A572" s="190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>
      <c r="A573" s="190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>
      <c r="A574" s="190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>
      <c r="A575" s="190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>
      <c r="A576" s="190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>
      <c r="A577" s="190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>
      <c r="A578" s="190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>
      <c r="A579" s="190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>
      <c r="A580" s="190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>
      <c r="A581" s="190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>
      <c r="A582" s="190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>
      <c r="A583" s="190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>
      <c r="A584" s="190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>
      <c r="A585" s="190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>
      <c r="A586" s="190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>
      <c r="A587" s="190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>
      <c r="A588" s="190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>
      <c r="A589" s="190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>
      <c r="A590" s="190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>
      <c r="A591" s="190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>
      <c r="A592" s="190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>
      <c r="A593" s="190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>
      <c r="A594" s="190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>
      <c r="A595" s="190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>
      <c r="A596" s="190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>
      <c r="A597" s="190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>
      <c r="A598" s="190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>
      <c r="A599" s="190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>
      <c r="A600" s="190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>
      <c r="A601" s="190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>
      <c r="A602" s="190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>
      <c r="A603" s="190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>
      <c r="A604" s="190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>
      <c r="A605" s="190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>
      <c r="A606" s="190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>
      <c r="A607" s="190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>
      <c r="A608" s="190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>
      <c r="A609" s="190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>
      <c r="A610" s="190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>
      <c r="A611" s="190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>
      <c r="A612" s="190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>
      <c r="A613" s="190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>
      <c r="A614" s="190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>
      <c r="A615" s="190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>
      <c r="A616" s="190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>
      <c r="A617" s="190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>
      <c r="A618" s="190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>
      <c r="A619" s="190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>
      <c r="A620" s="190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>
      <c r="A621" s="190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>
      <c r="A622" s="190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>
      <c r="A623" s="190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>
      <c r="A624" s="190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>
      <c r="A625" s="190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>
      <c r="A626" s="190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>
      <c r="A627" s="190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>
      <c r="A628" s="190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>
      <c r="A629" s="190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>
      <c r="A630" s="190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>
      <c r="A631" s="190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>
      <c r="A632" s="190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>
      <c r="A633" s="190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>
      <c r="A634" s="190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>
      <c r="A635" s="190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>
      <c r="A636" s="190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>
      <c r="A637" s="190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>
      <c r="A638" s="190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>
      <c r="A639" s="190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>
      <c r="A640" s="190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>
      <c r="A641" s="190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>
      <c r="A642" s="190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>
      <c r="A643" s="190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>
      <c r="A644" s="190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>
      <c r="A645" s="190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>
      <c r="A646" s="190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>
      <c r="A647" s="190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>
      <c r="A648" s="190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>
      <c r="A649" s="190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>
      <c r="A650" s="190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>
      <c r="A651" s="190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>
      <c r="A652" s="190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>
      <c r="A653" s="190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>
      <c r="A654" s="190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>
      <c r="A655" s="190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>
      <c r="A656" s="190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>
      <c r="A657" s="190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>
      <c r="A658" s="190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>
      <c r="A659" s="190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>
      <c r="A660" s="190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>
      <c r="A661" s="190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>
      <c r="A662" s="190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>
      <c r="A663" s="190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>
      <c r="A664" s="190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>
      <c r="A665" s="190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>
      <c r="A666" s="190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>
      <c r="A667" s="190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>
      <c r="A668" s="190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>
      <c r="A669" s="190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>
      <c r="A670" s="190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>
      <c r="A671" s="190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>
      <c r="A672" s="190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>
      <c r="A673" s="190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>
      <c r="A674" s="190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>
      <c r="A675" s="190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>
      <c r="A676" s="190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>
      <c r="A677" s="190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>
      <c r="A678" s="190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>
      <c r="A679" s="190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>
      <c r="A680" s="190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>
      <c r="A681" s="190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>
      <c r="A682" s="190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>
      <c r="A683" s="190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>
      <c r="A684" s="190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>
      <c r="A685" s="190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>
      <c r="A686" s="190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>
      <c r="A687" s="190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>
      <c r="A688" s="190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>
      <c r="A689" s="190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>
      <c r="A690" s="190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>
      <c r="A691" s="190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>
      <c r="A692" s="190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>
      <c r="A693" s="190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>
      <c r="A694" s="190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>
      <c r="A695" s="190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>
      <c r="A696" s="190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>
      <c r="A697" s="190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>
      <c r="A698" s="190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>
      <c r="A699" s="190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>
      <c r="A700" s="190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>
      <c r="A701" s="190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>
      <c r="A702" s="190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>
      <c r="A703" s="190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>
      <c r="A704" s="190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>
      <c r="A705" s="190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>
      <c r="A706" s="190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>
      <c r="A707" s="190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>
      <c r="A708" s="190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>
      <c r="A709" s="190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>
      <c r="A710" s="190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>
      <c r="A711" s="190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>
      <c r="A712" s="190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>
      <c r="A713" s="190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>
      <c r="A714" s="190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>
      <c r="A715" s="190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>
      <c r="A716" s="190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>
      <c r="A717" s="190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>
      <c r="A718" s="190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>
      <c r="A719" s="190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>
      <c r="A720" s="190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>
      <c r="A721" s="190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>
      <c r="A722" s="190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>
      <c r="A723" s="190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>
      <c r="A724" s="190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>
      <c r="A725" s="190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>
      <c r="A726" s="190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>
      <c r="A727" s="190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>
      <c r="A728" s="190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>
      <c r="A729" s="190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>
      <c r="A730" s="190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>
      <c r="A731" s="190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>
      <c r="A732" s="190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>
      <c r="A733" s="190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>
      <c r="A734" s="190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>
      <c r="A735" s="190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>
      <c r="A736" s="190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>
      <c r="A737" s="190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>
      <c r="A738" s="190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>
      <c r="A739" s="190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>
      <c r="A740" s="190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>
      <c r="A741" s="190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>
      <c r="A742" s="190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>
      <c r="A743" s="190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>
      <c r="A744" s="190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>
      <c r="A745" s="190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>
      <c r="A746" s="190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>
      <c r="A747" s="190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>
      <c r="A748" s="190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>
      <c r="A749" s="190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>
      <c r="A750" s="190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>
      <c r="A751" s="190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>
      <c r="A752" s="190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>
      <c r="A753" s="190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>
      <c r="A754" s="190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>
      <c r="A755" s="190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>
      <c r="A756" s="190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>
      <c r="A757" s="190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>
      <c r="A758" s="190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>
      <c r="A759" s="190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>
      <c r="A760" s="190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>
      <c r="A761" s="190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>
      <c r="A762" s="190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>
      <c r="A763" s="190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>
      <c r="A764" s="190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>
      <c r="A765" s="190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>
      <c r="A766" s="190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>
      <c r="A767" s="190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>
      <c r="A768" s="190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>
      <c r="A769" s="190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>
      <c r="A770" s="190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>
      <c r="A771" s="190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>
      <c r="A772" s="190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>
      <c r="A773" s="190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>
      <c r="A774" s="190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>
      <c r="A775" s="190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>
      <c r="A776" s="190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>
      <c r="A777" s="190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>
      <c r="A778" s="190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>
      <c r="A779" s="190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>
      <c r="A780" s="190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>
      <c r="A781" s="190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>
      <c r="A782" s="190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>
      <c r="A783" s="190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>
      <c r="A784" s="190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>
      <c r="A785" s="190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>
      <c r="A786" s="190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>
      <c r="A787" s="190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>
      <c r="A788" s="190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>
      <c r="A789" s="190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>
      <c r="A790" s="190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>
      <c r="A791" s="190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>
      <c r="A792" s="190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>
      <c r="A793" s="190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>
      <c r="A794" s="190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>
      <c r="A795" s="190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>
      <c r="A796" s="190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>
      <c r="A797" s="190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>
      <c r="A798" s="190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>
      <c r="A799" s="190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>
      <c r="A800" s="190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>
      <c r="A801" s="190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>
      <c r="A802" s="190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>
      <c r="A803" s="190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>
      <c r="A804" s="190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>
      <c r="A805" s="190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>
      <c r="A806" s="190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>
      <c r="A807" s="190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>
      <c r="A808" s="190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>
      <c r="A809" s="190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>
      <c r="A810" s="190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>
      <c r="A811" s="190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>
      <c r="A812" s="190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>
      <c r="A813" s="190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>
      <c r="A814" s="190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>
      <c r="A815" s="190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>
      <c r="A816" s="190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>
      <c r="A817" s="190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>
      <c r="A818" s="190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>
      <c r="A819" s="190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>
      <c r="A820" s="190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>
      <c r="A821" s="190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>
      <c r="A822" s="190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>
      <c r="A823" s="190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>
      <c r="A824" s="190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>
      <c r="A825" s="190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>
      <c r="A826" s="190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>
      <c r="A827" s="190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>
      <c r="A828" s="190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>
      <c r="A829" s="190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>
      <c r="A830" s="190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>
      <c r="A831" s="190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>
      <c r="A832" s="190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>
      <c r="A833" s="190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>
      <c r="A834" s="190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>
      <c r="A835" s="190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>
      <c r="A836" s="190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>
      <c r="A837" s="190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>
      <c r="A838" s="190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>
      <c r="A839" s="190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>
      <c r="A840" s="190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>
      <c r="A841" s="190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>
      <c r="A842" s="190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>
      <c r="A843" s="190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>
      <c r="A844" s="190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>
      <c r="A845" s="190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>
      <c r="A846" s="190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>
      <c r="A847" s="190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>
      <c r="A848" s="190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>
      <c r="A849" s="190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>
      <c r="A850" s="190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>
      <c r="A851" s="190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>
      <c r="A852" s="190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>
      <c r="A853" s="190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>
      <c r="A854" s="190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>
      <c r="A855" s="190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>
      <c r="A856" s="190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>
      <c r="A857" s="190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>
      <c r="A858" s="190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>
      <c r="A859" s="190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>
      <c r="A860" s="190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>
      <c r="A861" s="190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>
      <c r="A862" s="190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>
      <c r="A863" s="190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>
      <c r="A864" s="190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>
      <c r="A865" s="190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>
      <c r="A866" s="190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>
      <c r="A867" s="190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>
      <c r="A868" s="190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>
      <c r="A869" s="190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>
      <c r="A870" s="190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>
      <c r="A871" s="190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>
      <c r="A872" s="190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>
      <c r="A873" s="190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>
      <c r="A874" s="190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>
      <c r="A875" s="190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>
      <c r="A876" s="190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>
      <c r="A877" s="190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>
      <c r="A878" s="190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>
      <c r="A879" s="190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>
      <c r="A880" s="190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>
      <c r="A881" s="190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>
      <c r="A882" s="190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>
      <c r="A883" s="190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>
      <c r="A884" s="190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>
      <c r="A885" s="190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>
      <c r="A886" s="190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>
      <c r="A887" s="190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>
      <c r="A888" s="190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>
      <c r="A889" s="190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>
      <c r="A890" s="190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>
      <c r="A891" s="190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>
      <c r="A892" s="190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>
      <c r="A893" s="190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>
      <c r="A894" s="190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>
      <c r="A895" s="190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>
      <c r="A896" s="190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>
      <c r="A897" s="190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>
      <c r="A898" s="190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>
      <c r="A899" s="190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>
      <c r="A900" s="190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>
      <c r="A901" s="190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>
      <c r="A902" s="190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>
      <c r="A903" s="190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>
      <c r="A904" s="190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>
      <c r="A905" s="190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>
      <c r="A906" s="190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>
      <c r="A907" s="190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>
      <c r="A908" s="190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>
      <c r="A909" s="190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>
      <c r="A910" s="190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>
      <c r="A911" s="190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>
      <c r="A912" s="190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>
      <c r="A913" s="190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>
      <c r="A914" s="190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>
      <c r="A915" s="190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>
      <c r="A916" s="190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>
      <c r="A917" s="190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>
      <c r="A918" s="190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>
      <c r="A919" s="190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>
      <c r="A920" s="190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>
      <c r="A921" s="190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>
      <c r="A922" s="190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>
      <c r="A923" s="190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>
      <c r="A924" s="190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>
      <c r="A925" s="190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>
      <c r="A926" s="190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>
      <c r="A927" s="190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>
      <c r="A928" s="190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>
      <c r="A929" s="190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>
      <c r="A930" s="190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>
      <c r="A931" s="190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>
      <c r="A932" s="190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>
      <c r="A933" s="190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>
      <c r="A934" s="190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>
      <c r="A935" s="190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>
      <c r="A936" s="190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>
      <c r="A937" s="190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>
      <c r="A938" s="190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>
      <c r="A939" s="190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>
      <c r="A940" s="190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>
      <c r="A941" s="190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>
      <c r="A942" s="190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>
      <c r="A943" s="190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>
      <c r="A944" s="190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>
      <c r="A945" s="190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>
      <c r="A946" s="190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>
      <c r="A947" s="190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>
      <c r="A948" s="190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>
      <c r="A949" s="190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>
      <c r="A950" s="190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>
      <c r="A951" s="190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>
      <c r="A952" s="190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>
      <c r="A953" s="190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>
      <c r="A954" s="190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>
      <c r="A955" s="190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>
      <c r="A956" s="190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>
      <c r="A957" s="190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>
      <c r="A958" s="190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>
      <c r="A959" s="190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>
      <c r="A960" s="190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>
      <c r="A961" s="190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>
      <c r="A962" s="190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>
      <c r="A963" s="190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>
      <c r="A964" s="190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>
      <c r="A965" s="190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>
      <c r="A966" s="190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>
      <c r="A967" s="190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>
      <c r="A968" s="190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>
      <c r="A969" s="190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>
      <c r="A970" s="190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>
      <c r="A971" s="190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>
      <c r="A972" s="190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>
      <c r="A973" s="190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>
      <c r="A974" s="190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>
      <c r="A975" s="190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>
      <c r="A976" s="190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>
      <c r="A977" s="190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>
      <c r="A978" s="190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>
      <c r="A979" s="190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>
      <c r="A980" s="190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>
      <c r="A981" s="190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>
      <c r="A982" s="190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>
      <c r="A983" s="190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>
      <c r="A984" s="190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>
      <c r="A985" s="190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>
      <c r="A986" s="190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>
      <c r="A987" s="190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>
      <c r="A988" s="190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>
      <c r="A989" s="190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>
      <c r="A990" s="190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>
      <c r="A991" s="190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>
      <c r="A992" s="190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>
      <c r="A993" s="190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>
      <c r="A994" s="190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>
      <c r="A995" s="190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>
      <c r="A996" s="190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>
      <c r="A997" s="190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>
      <c r="A998" s="190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>
      <c r="A999" s="190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>
      <c r="A1000" s="190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  <row r="1001">
      <c r="A1001" s="190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</row>
    <row r="1002">
      <c r="A1002" s="190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</row>
    <row r="1003">
      <c r="A1003" s="190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</row>
    <row r="1004">
      <c r="A1004" s="190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10.75"/>
    <col customWidth="1" min="3" max="3" width="47.25"/>
    <col customWidth="1" min="4" max="4" width="32.38"/>
    <col customWidth="1" min="5" max="5" width="31.5"/>
    <col customWidth="1" min="6" max="6" width="81.88"/>
    <col customWidth="1" min="7" max="7" width="60.63"/>
  </cols>
  <sheetData>
    <row r="2">
      <c r="A2" s="33"/>
      <c r="B2" s="222" t="s">
        <v>480</v>
      </c>
      <c r="C2" s="223">
        <v>46162.0</v>
      </c>
      <c r="D2" s="33"/>
      <c r="E2" s="33"/>
      <c r="F2" s="33"/>
      <c r="G2" s="33"/>
    </row>
    <row r="3">
      <c r="A3" s="224" t="s">
        <v>481</v>
      </c>
      <c r="B3" s="225" t="s">
        <v>8</v>
      </c>
      <c r="C3" s="225" t="s">
        <v>482</v>
      </c>
      <c r="D3" s="225" t="s">
        <v>483</v>
      </c>
      <c r="E3" s="226" t="s">
        <v>484</v>
      </c>
      <c r="F3" s="225" t="s">
        <v>485</v>
      </c>
      <c r="G3" s="225" t="s">
        <v>486</v>
      </c>
    </row>
    <row r="4">
      <c r="A4" s="227"/>
      <c r="B4" s="228" t="s">
        <v>487</v>
      </c>
      <c r="C4" s="228" t="s">
        <v>488</v>
      </c>
      <c r="D4" s="229">
        <v>46168.0</v>
      </c>
      <c r="E4" s="228" t="s">
        <v>489</v>
      </c>
      <c r="F4" s="230" t="s">
        <v>490</v>
      </c>
      <c r="G4" s="228" t="s">
        <v>491</v>
      </c>
    </row>
    <row r="5">
      <c r="A5" s="227"/>
      <c r="B5" s="228" t="s">
        <v>492</v>
      </c>
      <c r="C5" s="228" t="s">
        <v>493</v>
      </c>
      <c r="D5" s="231">
        <v>46163.0</v>
      </c>
      <c r="E5" s="232" t="s">
        <v>489</v>
      </c>
      <c r="F5" s="228" t="s">
        <v>41</v>
      </c>
      <c r="G5" s="228" t="s">
        <v>494</v>
      </c>
    </row>
    <row r="6">
      <c r="A6" s="233"/>
      <c r="B6" s="228" t="s">
        <v>495</v>
      </c>
      <c r="C6" s="232" t="s">
        <v>496</v>
      </c>
      <c r="D6" s="229">
        <v>46157.0</v>
      </c>
      <c r="E6" s="232" t="s">
        <v>216</v>
      </c>
      <c r="F6" s="228" t="s">
        <v>497</v>
      </c>
      <c r="G6" s="234"/>
    </row>
    <row r="7">
      <c r="A7" s="233" t="s">
        <v>473</v>
      </c>
      <c r="B7" s="228" t="s">
        <v>498</v>
      </c>
      <c r="C7" s="228" t="s">
        <v>499</v>
      </c>
      <c r="D7" s="229">
        <v>46171.0</v>
      </c>
      <c r="E7" s="232" t="s">
        <v>489</v>
      </c>
      <c r="F7" s="228" t="s">
        <v>500</v>
      </c>
      <c r="G7" s="234" t="s">
        <v>501</v>
      </c>
    </row>
    <row r="8">
      <c r="A8" s="227"/>
      <c r="B8" s="228" t="s">
        <v>502</v>
      </c>
      <c r="C8" s="228" t="s">
        <v>503</v>
      </c>
      <c r="D8" s="235">
        <v>46182.0</v>
      </c>
      <c r="E8" s="232" t="s">
        <v>489</v>
      </c>
      <c r="F8" s="228" t="s">
        <v>500</v>
      </c>
      <c r="G8" s="228" t="s">
        <v>504</v>
      </c>
    </row>
    <row r="9">
      <c r="A9" s="227"/>
      <c r="B9" s="236" t="s">
        <v>505</v>
      </c>
      <c r="C9" s="228" t="s">
        <v>506</v>
      </c>
      <c r="D9" s="229">
        <v>46170.0</v>
      </c>
      <c r="E9" s="232" t="s">
        <v>489</v>
      </c>
      <c r="F9" s="228" t="s">
        <v>500</v>
      </c>
      <c r="G9" s="237" t="s">
        <v>507</v>
      </c>
    </row>
    <row r="10">
      <c r="A10" s="227"/>
      <c r="B10" s="228" t="s">
        <v>309</v>
      </c>
      <c r="C10" s="236" t="s">
        <v>508</v>
      </c>
      <c r="D10" s="229">
        <v>46153.0</v>
      </c>
      <c r="E10" s="228" t="s">
        <v>509</v>
      </c>
      <c r="F10" s="232" t="s">
        <v>497</v>
      </c>
      <c r="G10" s="232" t="s">
        <v>41</v>
      </c>
    </row>
    <row r="11">
      <c r="A11" s="161"/>
      <c r="B11" s="238" t="s">
        <v>315</v>
      </c>
      <c r="C11" s="238" t="s">
        <v>510</v>
      </c>
      <c r="D11" s="239">
        <v>46153.0</v>
      </c>
      <c r="E11" s="238" t="s">
        <v>489</v>
      </c>
      <c r="F11" s="238" t="s">
        <v>511</v>
      </c>
      <c r="G11" s="238" t="s">
        <v>41</v>
      </c>
    </row>
    <row r="12">
      <c r="A12" s="240" t="s">
        <v>455</v>
      </c>
      <c r="B12" s="238" t="s">
        <v>318</v>
      </c>
      <c r="C12" s="238" t="s">
        <v>512</v>
      </c>
      <c r="D12" s="239">
        <v>46154.0</v>
      </c>
      <c r="E12" s="238" t="s">
        <v>489</v>
      </c>
      <c r="F12" s="238" t="s">
        <v>41</v>
      </c>
      <c r="G12" s="161"/>
    </row>
    <row r="13">
      <c r="A13" s="161"/>
      <c r="B13" s="238" t="s">
        <v>513</v>
      </c>
      <c r="C13" s="238" t="s">
        <v>514</v>
      </c>
      <c r="D13" s="239">
        <v>46163.0</v>
      </c>
      <c r="E13" s="238" t="s">
        <v>489</v>
      </c>
      <c r="F13" s="238" t="s">
        <v>515</v>
      </c>
      <c r="G13" s="238" t="s">
        <v>516</v>
      </c>
    </row>
    <row r="14">
      <c r="A14" s="161"/>
      <c r="B14" s="238" t="s">
        <v>517</v>
      </c>
      <c r="C14" s="238" t="s">
        <v>518</v>
      </c>
      <c r="D14" s="241" t="s">
        <v>519</v>
      </c>
      <c r="E14" s="238" t="s">
        <v>489</v>
      </c>
      <c r="F14" s="238" t="s">
        <v>520</v>
      </c>
      <c r="G14" s="161"/>
    </row>
    <row r="15">
      <c r="A15" s="33"/>
      <c r="B15" s="242" t="s">
        <v>457</v>
      </c>
      <c r="C15" s="243" t="s">
        <v>521</v>
      </c>
      <c r="D15" s="243" t="s">
        <v>522</v>
      </c>
      <c r="E15" s="243" t="s">
        <v>523</v>
      </c>
      <c r="F15" s="243" t="s">
        <v>520</v>
      </c>
      <c r="G15" s="33"/>
    </row>
    <row r="16">
      <c r="A16" s="244"/>
      <c r="B16" s="245" t="s">
        <v>524</v>
      </c>
      <c r="C16" s="245" t="s">
        <v>525</v>
      </c>
      <c r="D16" s="246">
        <v>46161.0</v>
      </c>
      <c r="E16" s="245" t="s">
        <v>489</v>
      </c>
      <c r="F16" s="245" t="s">
        <v>526</v>
      </c>
      <c r="G16" s="245" t="s">
        <v>196</v>
      </c>
    </row>
    <row r="17">
      <c r="A17" s="247"/>
      <c r="B17" s="245" t="s">
        <v>527</v>
      </c>
      <c r="C17" s="245" t="s">
        <v>528</v>
      </c>
      <c r="D17" s="246">
        <v>46166.0</v>
      </c>
      <c r="E17" s="245" t="s">
        <v>489</v>
      </c>
      <c r="F17" s="245" t="s">
        <v>529</v>
      </c>
      <c r="G17" s="244"/>
    </row>
    <row r="18">
      <c r="A18" s="244"/>
      <c r="B18" s="245" t="s">
        <v>530</v>
      </c>
      <c r="C18" s="245" t="s">
        <v>214</v>
      </c>
      <c r="D18" s="246">
        <v>46156.0</v>
      </c>
      <c r="E18" s="245" t="s">
        <v>216</v>
      </c>
      <c r="F18" s="245" t="s">
        <v>41</v>
      </c>
      <c r="G18" s="245" t="s">
        <v>531</v>
      </c>
    </row>
    <row r="19">
      <c r="A19" s="244"/>
      <c r="B19" s="245" t="s">
        <v>532</v>
      </c>
      <c r="C19" s="245" t="s">
        <v>510</v>
      </c>
      <c r="D19" s="246">
        <v>46162.0</v>
      </c>
      <c r="E19" s="245" t="s">
        <v>489</v>
      </c>
      <c r="F19" s="245" t="s">
        <v>533</v>
      </c>
      <c r="G19" s="245" t="s">
        <v>534</v>
      </c>
    </row>
    <row r="20">
      <c r="A20" s="244"/>
      <c r="B20" s="245" t="s">
        <v>535</v>
      </c>
      <c r="C20" s="245" t="s">
        <v>536</v>
      </c>
      <c r="D20" s="246">
        <v>46154.0</v>
      </c>
      <c r="E20" s="245" t="s">
        <v>216</v>
      </c>
      <c r="F20" s="245" t="s">
        <v>537</v>
      </c>
      <c r="G20" s="245" t="s">
        <v>534</v>
      </c>
    </row>
    <row r="21">
      <c r="A21" s="248"/>
      <c r="B21" s="249" t="s">
        <v>538</v>
      </c>
      <c r="C21" s="249" t="s">
        <v>539</v>
      </c>
      <c r="D21" s="250">
        <v>46163.0</v>
      </c>
      <c r="E21" s="249" t="s">
        <v>489</v>
      </c>
      <c r="F21" s="249" t="s">
        <v>540</v>
      </c>
      <c r="G21" s="249" t="s">
        <v>541</v>
      </c>
    </row>
    <row r="22">
      <c r="A22" s="248"/>
      <c r="B22" s="249" t="s">
        <v>311</v>
      </c>
      <c r="C22" s="249" t="s">
        <v>542</v>
      </c>
      <c r="D22" s="251">
        <v>46154.0</v>
      </c>
      <c r="E22" s="249" t="s">
        <v>543</v>
      </c>
      <c r="F22" s="249" t="s">
        <v>41</v>
      </c>
      <c r="G22" s="249" t="s">
        <v>544</v>
      </c>
    </row>
    <row r="23">
      <c r="A23" s="252" t="s">
        <v>466</v>
      </c>
      <c r="B23" s="249" t="s">
        <v>545</v>
      </c>
      <c r="C23" s="248"/>
      <c r="D23" s="249" t="s">
        <v>0</v>
      </c>
      <c r="E23" s="249" t="s">
        <v>489</v>
      </c>
      <c r="F23" s="249" t="s">
        <v>546</v>
      </c>
      <c r="G23" s="249" t="s">
        <v>547</v>
      </c>
    </row>
    <row r="24">
      <c r="A24" s="248"/>
      <c r="B24" s="249" t="s">
        <v>548</v>
      </c>
      <c r="C24" s="248"/>
      <c r="D24" s="251">
        <v>46168.0</v>
      </c>
      <c r="E24" s="249" t="s">
        <v>489</v>
      </c>
      <c r="F24" s="249" t="s">
        <v>549</v>
      </c>
      <c r="G24" s="248"/>
    </row>
    <row r="25">
      <c r="A25" s="248"/>
      <c r="B25" s="249" t="s">
        <v>550</v>
      </c>
      <c r="C25" s="248"/>
      <c r="D25" s="251">
        <v>46170.0</v>
      </c>
      <c r="E25" s="249" t="s">
        <v>489</v>
      </c>
      <c r="F25" s="249" t="s">
        <v>549</v>
      </c>
      <c r="G25" s="248"/>
    </row>
    <row r="26">
      <c r="A26" s="248"/>
      <c r="B26" s="249" t="s">
        <v>551</v>
      </c>
      <c r="C26" s="249" t="s">
        <v>552</v>
      </c>
      <c r="D26" s="251">
        <v>46170.0</v>
      </c>
      <c r="E26" s="249" t="s">
        <v>489</v>
      </c>
      <c r="F26" s="249" t="s">
        <v>546</v>
      </c>
      <c r="G26" s="249" t="s">
        <v>547</v>
      </c>
    </row>
    <row r="27">
      <c r="A27" s="33"/>
      <c r="B27" s="243" t="s">
        <v>553</v>
      </c>
      <c r="C27" s="243" t="s">
        <v>554</v>
      </c>
      <c r="D27" s="253">
        <v>46160.0</v>
      </c>
      <c r="E27" s="243" t="s">
        <v>489</v>
      </c>
      <c r="F27" s="243" t="s">
        <v>490</v>
      </c>
      <c r="G27" s="243" t="s">
        <v>555</v>
      </c>
    </row>
    <row r="29">
      <c r="A29" s="254" t="s">
        <v>460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8.0"/>
    <col customWidth="1" min="2" max="2" width="20.13"/>
  </cols>
  <sheetData>
    <row r="3" ht="42.75" customHeight="1">
      <c r="A3" s="255" t="s">
        <v>556</v>
      </c>
      <c r="B3" s="256" t="s">
        <v>557</v>
      </c>
    </row>
    <row r="4">
      <c r="A4" s="256" t="s">
        <v>558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3.0"/>
  </cols>
  <sheetData>
    <row r="3" ht="23.25" customHeight="1">
      <c r="A3" s="255"/>
      <c r="B3" s="243" t="s">
        <v>559</v>
      </c>
      <c r="G3" s="256" t="s">
        <v>560</v>
      </c>
    </row>
    <row r="4" ht="27.0" customHeight="1">
      <c r="A4" s="49">
        <v>1.0</v>
      </c>
      <c r="B4" s="257" t="s">
        <v>239</v>
      </c>
      <c r="C4" s="257" t="s">
        <v>115</v>
      </c>
      <c r="D4" s="257" t="s">
        <v>108</v>
      </c>
      <c r="E4" s="257" t="s">
        <v>31</v>
      </c>
      <c r="F4" s="257" t="s">
        <v>214</v>
      </c>
      <c r="G4" s="258" t="s">
        <v>248</v>
      </c>
      <c r="H4" s="258" t="s">
        <v>216</v>
      </c>
      <c r="I4" s="258" t="s">
        <v>41</v>
      </c>
      <c r="J4" s="259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36">
        <v>2.0</v>
      </c>
      <c r="B5" s="260" t="s">
        <v>407</v>
      </c>
      <c r="C5" s="260" t="s">
        <v>98</v>
      </c>
      <c r="D5" s="260" t="s">
        <v>98</v>
      </c>
      <c r="E5" s="261"/>
      <c r="F5" s="262"/>
      <c r="G5" s="262">
        <v>46273.0</v>
      </c>
      <c r="H5" s="261"/>
      <c r="I5" s="261"/>
      <c r="J5" s="261"/>
    </row>
    <row r="6">
      <c r="B6" s="201"/>
      <c r="C6" s="201"/>
      <c r="D6" s="201"/>
      <c r="E6" s="201"/>
      <c r="F6" s="201"/>
      <c r="G6" s="201"/>
      <c r="H6" s="201"/>
      <c r="I6" s="201"/>
      <c r="J6" s="201"/>
    </row>
    <row r="7">
      <c r="B7" s="201"/>
      <c r="C7" s="201"/>
      <c r="D7" s="201"/>
      <c r="E7" s="201"/>
      <c r="F7" s="201"/>
      <c r="G7" s="201"/>
      <c r="H7" s="201"/>
      <c r="I7" s="201"/>
      <c r="J7" s="201"/>
    </row>
    <row r="8">
      <c r="B8" s="201"/>
      <c r="C8" s="201"/>
      <c r="D8" s="201"/>
      <c r="E8" s="201"/>
      <c r="F8" s="201"/>
      <c r="G8" s="201"/>
      <c r="H8" s="201"/>
      <c r="I8" s="201"/>
      <c r="J8" s="201"/>
    </row>
    <row r="9">
      <c r="B9" s="201"/>
      <c r="C9" s="201"/>
      <c r="D9" s="201"/>
      <c r="E9" s="201"/>
      <c r="F9" s="201"/>
      <c r="G9" s="201"/>
      <c r="H9" s="201"/>
      <c r="I9" s="201"/>
      <c r="J9" s="201"/>
    </row>
    <row r="10">
      <c r="B10" s="201"/>
      <c r="C10" s="201"/>
      <c r="D10" s="201"/>
      <c r="E10" s="201"/>
      <c r="F10" s="201"/>
      <c r="G10" s="201"/>
      <c r="H10" s="201"/>
      <c r="I10" s="201"/>
      <c r="J10" s="201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